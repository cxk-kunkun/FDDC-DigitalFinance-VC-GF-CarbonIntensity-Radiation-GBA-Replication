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<sst xmlns="http://schemas.openxmlformats.org/spreadsheetml/2006/main" count="323" uniqueCount="92">
  <si>
    <t>城市</t>
  </si>
  <si>
    <t>代码</t>
  </si>
  <si>
    <t>经度</t>
  </si>
  <si>
    <t>纬度</t>
  </si>
  <si>
    <t>年份</t>
  </si>
  <si>
    <t>绿色全要素BOM</t>
  </si>
  <si>
    <t>ln能耗强度</t>
  </si>
  <si>
    <t>ln数字金融</t>
  </si>
  <si>
    <t>ln数字广度</t>
  </si>
  <si>
    <t>ln数字深度</t>
  </si>
  <si>
    <t>ln电子化水平</t>
  </si>
  <si>
    <t>ln公路运量</t>
  </si>
  <si>
    <t>ln风险投资额</t>
  </si>
  <si>
    <t>ln绿色专利</t>
  </si>
  <si>
    <t>ln人均GDP</t>
  </si>
  <si>
    <t>数字金融</t>
  </si>
  <si>
    <t>数字广度</t>
  </si>
  <si>
    <t>数字深度</t>
  </si>
  <si>
    <t>电子化水平</t>
  </si>
  <si>
    <t>公路运量</t>
  </si>
  <si>
    <t>风险投资额</t>
  </si>
  <si>
    <t>绿色专利</t>
  </si>
  <si>
    <t>人均GDP</t>
  </si>
  <si>
    <t>对外开放</t>
  </si>
  <si>
    <t>财政环境支出</t>
  </si>
  <si>
    <t>第二产业占比</t>
  </si>
  <si>
    <t>人口密度</t>
  </si>
  <si>
    <t>ln人口密度</t>
  </si>
  <si>
    <t>金融发展程度</t>
  </si>
  <si>
    <t>人力资本水平</t>
  </si>
  <si>
    <t>环境规则强度</t>
  </si>
  <si>
    <t>风险投资数</t>
  </si>
  <si>
    <t>绿色金融</t>
  </si>
  <si>
    <t>ln公路运量源数据</t>
  </si>
  <si>
    <t>光缆距离</t>
  </si>
  <si>
    <t>互联网03年普及率</t>
  </si>
  <si>
    <t>互联网04年普及率</t>
  </si>
  <si>
    <t>互联网05年普及率</t>
  </si>
  <si>
    <t>互联网06年普及率</t>
  </si>
  <si>
    <t>邮电</t>
  </si>
  <si>
    <t>广州地理距离权重</t>
  </si>
  <si>
    <t>广州经济距离权重</t>
  </si>
  <si>
    <t>广州嵌套权重</t>
  </si>
  <si>
    <t>深圳地理距离权重</t>
  </si>
  <si>
    <t>深圳经济距离权重</t>
  </si>
  <si>
    <t>深圳嵌套权重</t>
  </si>
  <si>
    <t>汕头嵌套权重</t>
  </si>
  <si>
    <t>珠海嵌套权重</t>
  </si>
  <si>
    <t>韶关嵌套权重</t>
  </si>
  <si>
    <t>湛江嵌套权重</t>
  </si>
  <si>
    <t>佛山嵌套权重</t>
  </si>
  <si>
    <t>战略性新兴产业专利</t>
  </si>
  <si>
    <t>高等教育在校人数</t>
  </si>
  <si>
    <t>ln战略性新兴产业专利</t>
  </si>
  <si>
    <t>人才引进强度</t>
  </si>
  <si>
    <t>人口</t>
  </si>
  <si>
    <t>产业结构高级化</t>
  </si>
  <si>
    <t>资本要素流动</t>
  </si>
  <si>
    <t>人才要素流动</t>
  </si>
  <si>
    <t>地区生产总值</t>
  </si>
  <si>
    <t>ln地区生产总值</t>
  </si>
  <si>
    <t>经济差</t>
  </si>
  <si>
    <t>固定电话数</t>
  </si>
  <si>
    <t>f</t>
  </si>
  <si>
    <t>2000 年固定电话总量（户）</t>
  </si>
  <si>
    <t>2000 年常住人口（人）</t>
  </si>
  <si>
    <t>2000 年人均固定电话数</t>
  </si>
  <si>
    <t>每百人固定电话数量</t>
  </si>
  <si>
    <t>每百万人邮局数量</t>
  </si>
  <si>
    <t>互联网用户数交互电话</t>
  </si>
  <si>
    <t>互联网用户数交互邮局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</si>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</sst>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 applyProtection="1">
      <alignment horizontal="center" vertical="center"/>
      <protection locked="0"/>
    </xf>
    <xf numFmtId="11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253"/>
  <sheetViews>
    <sheetView tabSelected="1" topLeftCell="BO1" workbookViewId="0">
      <selection activeCell="BR12" sqref="BR12"/>
    </sheetView>
  </sheetViews>
  <sheetFormatPr defaultColWidth="9.02654867256637" defaultRowHeight="13.5"/>
  <cols>
    <col min="1" max="1" width="9.02654867256637" style="1"/>
    <col min="2" max="2" width="5.38938053097345" style="1" customWidth="1"/>
    <col min="3" max="3" width="14.2743362831858" style="1" customWidth="1"/>
    <col min="4" max="4" width="18.9203539823009" style="1" customWidth="1"/>
    <col min="5" max="5" width="5.53097345132743" style="1" customWidth="1"/>
    <col min="6" max="6" width="14.6371681415929" style="1" customWidth="1"/>
    <col min="7" max="10" width="12.7964601769912" style="1" customWidth="1"/>
    <col min="11" max="11" width="13.5752212389381" style="1" customWidth="1"/>
    <col min="12" max="12" width="12.7964601769912" style="1" customWidth="1"/>
    <col min="13" max="13" width="13.5752212389381" style="1" customWidth="1"/>
    <col min="14" max="14" width="11.3805309734513" style="1" customWidth="1"/>
    <col min="15" max="19" width="12.7964601769912" style="1" customWidth="1"/>
    <col min="20" max="20" width="9.53097345132743" style="1" customWidth="1"/>
    <col min="21" max="21" width="11.3097345132743" style="1" customWidth="1"/>
    <col min="22" max="22" width="9.24778761061947" style="1" customWidth="1"/>
    <col min="23" max="24" width="12.7964601769912" style="1" customWidth="1"/>
    <col min="25" max="25" width="13.4336283185841" style="1" customWidth="1"/>
    <col min="26" max="26" width="11.3097345132743" style="1" customWidth="1"/>
    <col min="27" max="27" width="12.7964601769912" style="1" customWidth="1"/>
    <col min="28" max="31" width="13.4336283185841" style="1" customWidth="1"/>
    <col min="32" max="32" width="11.3097345132743" style="1" customWidth="1"/>
    <col min="33" max="33" width="9.53097345132743" style="1" customWidth="1"/>
    <col min="34" max="34" width="17.8318584070796" style="2" customWidth="1"/>
    <col min="35" max="35" width="12.7964601769912" style="1" customWidth="1"/>
    <col min="36" max="39" width="17.8318584070796" style="1" customWidth="1"/>
    <col min="40" max="40" width="16.8318584070796" style="1" customWidth="1"/>
    <col min="41" max="42" width="17.7610619469027" style="1" customWidth="1"/>
    <col min="43" max="43" width="13.4336283185841" style="1" customWidth="1"/>
    <col min="44" max="45" width="17.7610619469027" style="1" customWidth="1"/>
    <col min="46" max="51" width="13.4336283185841" style="1" customWidth="1"/>
    <col min="52" max="52" width="19.9557522123894" style="1" customWidth="1"/>
    <col min="53" max="53" width="17.7610619469027" style="1" customWidth="1"/>
    <col min="54" max="54" width="22.1504424778761" style="1" customWidth="1"/>
    <col min="55" max="55" width="21.3805309734513" style="1" customWidth="1"/>
    <col min="56" max="56" width="9.02654867256637" style="1"/>
    <col min="57" max="57" width="15.6283185840708" style="1" customWidth="1"/>
    <col min="58" max="60" width="13.4336283185841" style="1" customWidth="1"/>
    <col min="61" max="61" width="15.6991150442478" style="1" customWidth="1"/>
    <col min="62" max="62" width="12.7964601769912" style="1"/>
    <col min="63" max="63" width="11.3097345132743" style="1" customWidth="1"/>
    <col min="64" max="64" width="12.7964601769912" style="1"/>
    <col min="65" max="65" width="27.6814159292035" style="1" customWidth="1"/>
    <col min="66" max="66" width="23.353982300885" style="1" customWidth="1"/>
    <col min="67" max="67" width="47.3097345132743" style="1" customWidth="1"/>
    <col min="68" max="68" width="19.9557522123894" style="1" customWidth="1"/>
    <col min="69" max="69" width="17.7610619469027" style="1" customWidth="1"/>
    <col min="70" max="71" width="36.3274336283186" style="1" customWidth="1"/>
    <col min="72" max="16384" width="9.02654867256637" style="1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 s="1" t="s">
        <v>71</v>
      </c>
      <c r="B2" s="1">
        <v>1</v>
      </c>
      <c r="C2" s="1">
        <v>113.536</v>
      </c>
      <c r="D2" s="1">
        <v>23.3484</v>
      </c>
      <c r="E2" s="1">
        <v>2011</v>
      </c>
      <c r="F2" s="1">
        <v>0.516625693095599</v>
      </c>
      <c r="G2" s="1">
        <v>8.50376373538771</v>
      </c>
      <c r="H2" s="1">
        <v>4.42016503156493</v>
      </c>
      <c r="I2" s="1">
        <v>4.51655752763148</v>
      </c>
      <c r="J2" s="1">
        <v>4.38862978580745</v>
      </c>
      <c r="K2" s="1">
        <v>4.09484443726375</v>
      </c>
      <c r="L2" s="1">
        <v>1.227536</v>
      </c>
      <c r="M2" s="1">
        <v>10.0545248192903</v>
      </c>
      <c r="N2" s="1">
        <v>5.549076</v>
      </c>
      <c r="O2" s="1">
        <v>11.4885200611314</v>
      </c>
      <c r="P2" s="1">
        <v>82.11</v>
      </c>
      <c r="Q2" s="1">
        <v>90.52</v>
      </c>
      <c r="R2" s="1">
        <v>79.53</v>
      </c>
      <c r="S2" s="1">
        <v>59.03</v>
      </c>
      <c r="T2" s="1">
        <v>454.48</v>
      </c>
      <c r="U2" s="1">
        <v>23259.8</v>
      </c>
      <c r="V2" s="1">
        <v>256</v>
      </c>
      <c r="W2" s="1">
        <v>97588</v>
      </c>
      <c r="X2" s="1">
        <v>0.603943681957951</v>
      </c>
      <c r="Y2" s="1">
        <v>15</v>
      </c>
      <c r="Z2" s="1">
        <v>0.3684</v>
      </c>
      <c r="AA2" s="1">
        <v>7.44733227660507</v>
      </c>
      <c r="AB2" s="1">
        <f>LN(AA2)</f>
        <v>2.00785588458703</v>
      </c>
      <c r="AC2" s="1">
        <v>3.39077851148945</v>
      </c>
      <c r="AD2" s="1">
        <v>0.110004910385465</v>
      </c>
      <c r="AE2" s="1">
        <v>0.923985978968453</v>
      </c>
      <c r="AF2" s="1">
        <v>184</v>
      </c>
      <c r="AG2" s="1">
        <v>0.452352</v>
      </c>
      <c r="AH2" s="2">
        <v>6.12135</v>
      </c>
      <c r="AI2" s="1">
        <v>43.6406301420825</v>
      </c>
      <c r="AJ2" s="1">
        <v>4.34093134213103</v>
      </c>
      <c r="AK2" s="1">
        <v>3.36735938834438</v>
      </c>
      <c r="AL2" s="1">
        <v>3.03785325036974</v>
      </c>
      <c r="AM2" s="1">
        <v>3.07603323167525</v>
      </c>
      <c r="AN2" s="1">
        <v>4390</v>
      </c>
      <c r="AO2" s="1">
        <v>0</v>
      </c>
      <c r="AP2" s="1">
        <v>0</v>
      </c>
      <c r="AQ2" s="1">
        <v>0</v>
      </c>
      <c r="AR2" s="1">
        <v>0.07282096</v>
      </c>
      <c r="AS2" s="1">
        <v>0.03610684</v>
      </c>
      <c r="AT2" s="1">
        <v>0.05589997</v>
      </c>
      <c r="AU2" s="1">
        <v>0.00965618</v>
      </c>
      <c r="AV2" s="1">
        <v>0.04243648</v>
      </c>
      <c r="AW2" s="1">
        <v>0.03865751</v>
      </c>
      <c r="AX2" s="1">
        <v>0.02311068</v>
      </c>
      <c r="AY2" s="1">
        <v>0.07298363</v>
      </c>
      <c r="AZ2" s="1">
        <v>8331</v>
      </c>
      <c r="BA2" s="1">
        <v>896.1</v>
      </c>
      <c r="BB2" s="1">
        <f>LN(AZ2)</f>
        <v>9.02773877597491</v>
      </c>
      <c r="BC2" s="1">
        <v>0.000882</v>
      </c>
      <c r="BD2" s="1">
        <v>814.6</v>
      </c>
      <c r="BE2" s="1">
        <v>1.6696549654007</v>
      </c>
      <c r="BF2" s="1">
        <v>0.6503707</v>
      </c>
      <c r="BG2" s="1">
        <v>8.6519558</v>
      </c>
      <c r="BH2" s="1">
        <v>12199.691406</v>
      </c>
      <c r="BI2" s="1">
        <f>LN(BH2)</f>
        <v>9.40916593581127</v>
      </c>
      <c r="BJ2" s="1">
        <v>13.735325</v>
      </c>
      <c r="BK2" s="1">
        <v>51603.21</v>
      </c>
      <c r="BL2" s="1">
        <v>43.6406301420825</v>
      </c>
      <c r="BM2" s="1">
        <v>856213</v>
      </c>
      <c r="BN2" s="1">
        <v>7010000</v>
      </c>
      <c r="BO2" s="1">
        <v>0.1221</v>
      </c>
      <c r="BP2" s="1">
        <v>1.128432</v>
      </c>
      <c r="BQ2" s="1">
        <v>43.64063</v>
      </c>
      <c r="BR2" s="1">
        <v>43331.8</v>
      </c>
      <c r="BS2" s="3">
        <v>1700000</v>
      </c>
    </row>
    <row r="3" spans="1:71">
      <c r="A3" s="1" t="s">
        <v>71</v>
      </c>
      <c r="B3" s="1">
        <v>1</v>
      </c>
      <c r="C3" s="1">
        <v>113.536</v>
      </c>
      <c r="D3" s="1">
        <v>23.3484</v>
      </c>
      <c r="E3" s="1">
        <v>2012</v>
      </c>
      <c r="F3" s="1">
        <v>0.496745495278447</v>
      </c>
      <c r="G3" s="1">
        <v>8.40859826602343</v>
      </c>
      <c r="H3" s="1">
        <v>4.88174075368515</v>
      </c>
      <c r="I3" s="1">
        <v>4.99260709157686</v>
      </c>
      <c r="J3" s="1">
        <v>4.80057248232057</v>
      </c>
      <c r="K3" s="1">
        <v>4.5999566189352</v>
      </c>
      <c r="L3" s="1">
        <v>1.227536</v>
      </c>
      <c r="M3" s="1">
        <v>8.94280988553525</v>
      </c>
      <c r="N3" s="1">
        <v>5.6664267</v>
      </c>
      <c r="O3" s="1">
        <v>11.5703449558377</v>
      </c>
      <c r="P3" s="1">
        <v>130.86</v>
      </c>
      <c r="Q3" s="1">
        <v>146.32</v>
      </c>
      <c r="R3" s="1">
        <v>120.58</v>
      </c>
      <c r="S3" s="1">
        <v>98.48</v>
      </c>
      <c r="T3" s="1">
        <v>526.97</v>
      </c>
      <c r="U3" s="1">
        <v>7651.67</v>
      </c>
      <c r="V3" s="1">
        <v>288</v>
      </c>
      <c r="W3" s="1">
        <v>105909</v>
      </c>
      <c r="X3" s="1">
        <v>0.545792550312418</v>
      </c>
      <c r="Y3" s="1">
        <v>11.65</v>
      </c>
      <c r="Z3" s="1">
        <v>0.348400000001476</v>
      </c>
      <c r="AA3" s="1">
        <v>7.45417083191709</v>
      </c>
      <c r="AB3" s="1">
        <f t="shared" ref="AB3:AB66" si="0">LN(AA3)</f>
        <v>2.00877371894807</v>
      </c>
      <c r="AC3" s="1">
        <v>3.47054024825183</v>
      </c>
      <c r="AD3" s="1">
        <v>0.11421719567068</v>
      </c>
      <c r="AE3" s="1">
        <v>1.05374244537424</v>
      </c>
      <c r="AF3" s="1">
        <v>156</v>
      </c>
      <c r="AG3" s="1">
        <v>0.502528</v>
      </c>
      <c r="AH3" s="2">
        <v>6.26904</v>
      </c>
      <c r="AI3" s="1">
        <v>43.6406301420825</v>
      </c>
      <c r="AJ3" s="1">
        <v>4.34093134213103</v>
      </c>
      <c r="AK3" s="1">
        <v>3.36735938834438</v>
      </c>
      <c r="AL3" s="1">
        <v>3.03785325036974</v>
      </c>
      <c r="AM3" s="1">
        <v>3.07603323167525</v>
      </c>
      <c r="AN3" s="1">
        <v>4390</v>
      </c>
      <c r="AO3" s="1">
        <v>0</v>
      </c>
      <c r="AP3" s="1">
        <v>0</v>
      </c>
      <c r="AQ3" s="1">
        <v>0</v>
      </c>
      <c r="AR3" s="1">
        <v>0.07282096</v>
      </c>
      <c r="AS3" s="1">
        <v>0.03610684</v>
      </c>
      <c r="AT3" s="1">
        <v>0.05589997</v>
      </c>
      <c r="AU3" s="1">
        <v>0.00965618</v>
      </c>
      <c r="AV3" s="1">
        <v>0.04243648</v>
      </c>
      <c r="AW3" s="1">
        <v>0.03865751</v>
      </c>
      <c r="AX3" s="1">
        <v>0.02311068</v>
      </c>
      <c r="AY3" s="1">
        <v>0.07298363</v>
      </c>
      <c r="AZ3" s="1">
        <v>10071</v>
      </c>
      <c r="BA3" s="1">
        <v>939.208</v>
      </c>
      <c r="BB3" s="1">
        <f t="shared" ref="BB3:BB66" si="1">LN(AZ3)</f>
        <v>9.21741528564814</v>
      </c>
      <c r="BC3" s="1">
        <v>0.00123</v>
      </c>
      <c r="BD3" s="1">
        <v>822.3</v>
      </c>
      <c r="BE3" s="1">
        <v>1.82520055770874</v>
      </c>
      <c r="BF3" s="1">
        <v>1.8563107</v>
      </c>
      <c r="BG3" s="1">
        <v>7.3526714</v>
      </c>
      <c r="BH3" s="1">
        <v>13194.687025</v>
      </c>
      <c r="BI3" s="1">
        <f t="shared" ref="BI3:BI66" si="2">LN(BH3)</f>
        <v>9.4875695294443</v>
      </c>
      <c r="BJ3" s="1">
        <v>13.735325</v>
      </c>
      <c r="BK3" s="1">
        <v>57899.86</v>
      </c>
      <c r="BL3" s="1">
        <v>43.6406301420825</v>
      </c>
      <c r="BM3" s="1">
        <v>856213</v>
      </c>
      <c r="BN3" s="1">
        <v>7010000</v>
      </c>
      <c r="BO3" s="1">
        <v>0.1221</v>
      </c>
      <c r="BP3" s="1">
        <v>1.128432</v>
      </c>
      <c r="BQ3" s="1">
        <v>43.64063</v>
      </c>
      <c r="BR3" s="1">
        <v>43331.8</v>
      </c>
      <c r="BS3" s="3">
        <v>1700000</v>
      </c>
    </row>
    <row r="4" spans="1:71">
      <c r="A4" s="1" t="s">
        <v>71</v>
      </c>
      <c r="B4" s="1">
        <v>1</v>
      </c>
      <c r="C4" s="1">
        <v>113.536</v>
      </c>
      <c r="D4" s="1">
        <v>23.3484</v>
      </c>
      <c r="E4" s="1">
        <v>2013</v>
      </c>
      <c r="F4" s="1">
        <v>0.540653013905651</v>
      </c>
      <c r="G4" s="1">
        <v>8.40392972532641</v>
      </c>
      <c r="H4" s="1">
        <v>5.1596872833785</v>
      </c>
      <c r="I4" s="1">
        <v>5.17942121160418</v>
      </c>
      <c r="J4" s="1">
        <v>5.12122212872566</v>
      </c>
      <c r="K4" s="1">
        <v>5.16244036799668</v>
      </c>
      <c r="L4" s="1">
        <v>1.227536</v>
      </c>
      <c r="M4" s="1">
        <v>8.3388341733855</v>
      </c>
      <c r="N4" s="1">
        <v>6.0210233</v>
      </c>
      <c r="O4" s="1">
        <v>11.6927104741121</v>
      </c>
      <c r="P4" s="1">
        <v>173.11</v>
      </c>
      <c r="Q4" s="1">
        <v>176.58</v>
      </c>
      <c r="R4" s="1">
        <v>166.54</v>
      </c>
      <c r="S4" s="1">
        <v>173.59</v>
      </c>
      <c r="T4" s="1">
        <v>591.42</v>
      </c>
      <c r="U4" s="1">
        <v>4182.21</v>
      </c>
      <c r="V4" s="1">
        <v>411</v>
      </c>
      <c r="W4" s="1">
        <v>119695</v>
      </c>
      <c r="X4" s="1">
        <v>0.477521441967913</v>
      </c>
      <c r="Y4" s="1">
        <v>8.64</v>
      </c>
      <c r="Z4" s="1">
        <v>0.339</v>
      </c>
      <c r="AA4" s="1">
        <v>7.46099388279543</v>
      </c>
      <c r="AB4" s="1">
        <f t="shared" si="0"/>
        <v>2.00968863359833</v>
      </c>
      <c r="AC4" s="1">
        <v>3.62217001821137</v>
      </c>
      <c r="AD4" s="1">
        <v>0.118112579598702</v>
      </c>
      <c r="AE4" s="1">
        <v>0.565456081081081</v>
      </c>
      <c r="AF4" s="1">
        <v>158</v>
      </c>
      <c r="AG4" s="1">
        <v>0.477576</v>
      </c>
      <c r="AH4" s="2">
        <v>6.38422</v>
      </c>
      <c r="AI4" s="1">
        <v>43.6406301420825</v>
      </c>
      <c r="AJ4" s="1">
        <v>4.34093134213103</v>
      </c>
      <c r="AK4" s="1">
        <v>3.36735938834438</v>
      </c>
      <c r="AL4" s="1">
        <v>3.03785325036974</v>
      </c>
      <c r="AM4" s="1">
        <v>3.07603323167525</v>
      </c>
      <c r="AN4" s="1">
        <v>4390</v>
      </c>
      <c r="AO4" s="1">
        <v>0</v>
      </c>
      <c r="AP4" s="1">
        <v>0</v>
      </c>
      <c r="AQ4" s="1">
        <v>0</v>
      </c>
      <c r="AR4" s="1">
        <v>0.07282096</v>
      </c>
      <c r="AS4" s="1">
        <v>0.03610684</v>
      </c>
      <c r="AT4" s="1">
        <v>0.05589997</v>
      </c>
      <c r="AU4" s="1">
        <v>0.00965618</v>
      </c>
      <c r="AV4" s="1">
        <v>0.04243648</v>
      </c>
      <c r="AW4" s="1">
        <v>0.03865751</v>
      </c>
      <c r="AX4" s="1">
        <v>0.02311068</v>
      </c>
      <c r="AY4" s="1">
        <v>0.07298363</v>
      </c>
      <c r="AZ4" s="1">
        <v>12237</v>
      </c>
      <c r="BA4" s="1">
        <v>983.1</v>
      </c>
      <c r="BB4" s="1">
        <f t="shared" si="1"/>
        <v>9.41221942798567</v>
      </c>
      <c r="BC4" s="1">
        <v>0.000266</v>
      </c>
      <c r="BD4" s="1">
        <v>832.3</v>
      </c>
      <c r="BE4" s="1">
        <v>1.90619480609894</v>
      </c>
      <c r="BF4" s="1">
        <v>4.3447151</v>
      </c>
      <c r="BG4" s="1">
        <v>7.0213779</v>
      </c>
      <c r="BH4" s="1">
        <v>15050.403109</v>
      </c>
      <c r="BI4" s="1">
        <f t="shared" si="2"/>
        <v>9.61916005446948</v>
      </c>
      <c r="BJ4" s="1">
        <v>13.735325</v>
      </c>
      <c r="BK4" s="1">
        <v>63643.58</v>
      </c>
      <c r="BL4" s="1">
        <v>43.6406301420825</v>
      </c>
      <c r="BM4" s="1">
        <v>856213</v>
      </c>
      <c r="BN4" s="1">
        <v>7010000</v>
      </c>
      <c r="BO4" s="1">
        <v>0.1221</v>
      </c>
      <c r="BP4" s="1">
        <v>1.128432</v>
      </c>
      <c r="BQ4" s="1">
        <v>43.64063</v>
      </c>
      <c r="BR4" s="1">
        <v>43331.8</v>
      </c>
      <c r="BS4" s="3">
        <v>1700000</v>
      </c>
    </row>
    <row r="5" spans="1:71">
      <c r="A5" s="1" t="s">
        <v>71</v>
      </c>
      <c r="B5" s="1">
        <v>1</v>
      </c>
      <c r="C5" s="1">
        <v>113.536</v>
      </c>
      <c r="D5" s="1">
        <v>23.3484</v>
      </c>
      <c r="E5" s="1">
        <v>2014</v>
      </c>
      <c r="F5" s="1">
        <v>0.565911848193182</v>
      </c>
      <c r="G5" s="1">
        <v>8.5202909613686</v>
      </c>
      <c r="H5" s="1">
        <v>5.20926754971452</v>
      </c>
      <c r="I5" s="1">
        <v>5.33638356735449</v>
      </c>
      <c r="J5" s="1">
        <v>5.02585225990111</v>
      </c>
      <c r="K5" s="1">
        <v>5.0549711079163</v>
      </c>
      <c r="L5" s="1">
        <v>1.227536</v>
      </c>
      <c r="M5" s="1">
        <v>9.25033866734942</v>
      </c>
      <c r="N5" s="1">
        <v>5.966147</v>
      </c>
      <c r="O5" s="1">
        <v>11.7635207458377</v>
      </c>
      <c r="P5" s="1">
        <v>181.96</v>
      </c>
      <c r="Q5" s="1">
        <v>206.76</v>
      </c>
      <c r="R5" s="1">
        <v>151.3</v>
      </c>
      <c r="S5" s="1">
        <v>155.8</v>
      </c>
      <c r="T5" s="1">
        <v>660.4</v>
      </c>
      <c r="U5" s="1">
        <v>10407.09</v>
      </c>
      <c r="V5" s="1">
        <v>389</v>
      </c>
      <c r="W5" s="1">
        <v>128478</v>
      </c>
      <c r="X5" s="1">
        <v>0.480209829106309</v>
      </c>
      <c r="Y5" s="1">
        <v>13.52</v>
      </c>
      <c r="Z5" s="1">
        <v>0.334699999998204</v>
      </c>
      <c r="AA5" s="1">
        <v>7.47281377870522</v>
      </c>
      <c r="AB5" s="1">
        <f t="shared" si="0"/>
        <v>2.01127160542252</v>
      </c>
      <c r="AC5" s="1">
        <v>3.57343969938502</v>
      </c>
      <c r="AD5" s="1">
        <v>0.120998456790123</v>
      </c>
      <c r="AE5" s="1">
        <v>0.741615961511249</v>
      </c>
      <c r="AF5" s="1">
        <v>338</v>
      </c>
      <c r="AG5" s="1">
        <v>0.50694</v>
      </c>
      <c r="AH5" s="2">
        <v>6.49436</v>
      </c>
      <c r="AI5" s="1">
        <v>43.6406301420825</v>
      </c>
      <c r="AJ5" s="1">
        <v>4.34093134213103</v>
      </c>
      <c r="AK5" s="1">
        <v>3.36735938834438</v>
      </c>
      <c r="AL5" s="1">
        <v>3.03785325036974</v>
      </c>
      <c r="AM5" s="1">
        <v>3.07603323167525</v>
      </c>
      <c r="AN5" s="1">
        <v>4390</v>
      </c>
      <c r="AO5" s="1">
        <v>0</v>
      </c>
      <c r="AP5" s="1">
        <v>0</v>
      </c>
      <c r="AQ5" s="1">
        <v>0</v>
      </c>
      <c r="AR5" s="1">
        <v>0.07282096</v>
      </c>
      <c r="AS5" s="1">
        <v>0.03610684</v>
      </c>
      <c r="AT5" s="1">
        <v>0.05589997</v>
      </c>
      <c r="AU5" s="1">
        <v>0.00965618</v>
      </c>
      <c r="AV5" s="1">
        <v>0.04243648</v>
      </c>
      <c r="AW5" s="1">
        <v>0.03865751</v>
      </c>
      <c r="AX5" s="1">
        <v>0.02311068</v>
      </c>
      <c r="AY5" s="1">
        <v>0.07298363</v>
      </c>
      <c r="AZ5" s="1">
        <v>13978</v>
      </c>
      <c r="BA5" s="1">
        <v>1019.291</v>
      </c>
      <c r="BB5" s="1">
        <f t="shared" si="1"/>
        <v>9.54523994403707</v>
      </c>
      <c r="BC5" s="1">
        <v>0.000644</v>
      </c>
      <c r="BD5" s="1">
        <v>1529.02</v>
      </c>
      <c r="BE5" s="1">
        <v>1.94890904426575</v>
      </c>
      <c r="BF5" s="1">
        <v>2.5444644</v>
      </c>
      <c r="BG5" s="1">
        <v>12.5464951</v>
      </c>
      <c r="BH5" s="1">
        <v>16135.953599</v>
      </c>
      <c r="BI5" s="1">
        <f t="shared" si="2"/>
        <v>9.68880520401018</v>
      </c>
      <c r="BJ5" s="1">
        <v>13.735325</v>
      </c>
      <c r="BK5" s="1">
        <v>69689.72</v>
      </c>
      <c r="BL5" s="1">
        <v>43.6406301420825</v>
      </c>
      <c r="BM5" s="1">
        <v>856213</v>
      </c>
      <c r="BN5" s="1">
        <v>7010000</v>
      </c>
      <c r="BO5" s="1">
        <v>0.1221</v>
      </c>
      <c r="BP5" s="1">
        <v>1.128432</v>
      </c>
      <c r="BQ5" s="1">
        <v>43.64063</v>
      </c>
      <c r="BR5" s="1">
        <v>43331.8</v>
      </c>
      <c r="BS5" s="3">
        <v>1700000</v>
      </c>
    </row>
    <row r="6" spans="1:71">
      <c r="A6" s="1" t="s">
        <v>71</v>
      </c>
      <c r="B6" s="1">
        <v>1</v>
      </c>
      <c r="C6" s="1">
        <v>113.536</v>
      </c>
      <c r="D6" s="1">
        <v>23.3484</v>
      </c>
      <c r="E6" s="1">
        <v>2015</v>
      </c>
      <c r="F6" s="1">
        <v>0.626279118629449</v>
      </c>
      <c r="G6" s="1">
        <v>8.51672726709035</v>
      </c>
      <c r="H6" s="1">
        <v>5.37231104645636</v>
      </c>
      <c r="I6" s="1">
        <v>5.44449347670563</v>
      </c>
      <c r="J6" s="1">
        <v>5.18593223595324</v>
      </c>
      <c r="K6" s="1">
        <v>5.432279916211</v>
      </c>
      <c r="L6" s="1">
        <v>1.227536</v>
      </c>
      <c r="M6" s="1">
        <v>9.6226274904984</v>
      </c>
      <c r="N6" s="1">
        <v>6.4831076</v>
      </c>
      <c r="O6" s="1">
        <v>11.821798905853</v>
      </c>
      <c r="P6" s="1">
        <v>214.36</v>
      </c>
      <c r="Q6" s="1">
        <v>230.48</v>
      </c>
      <c r="R6" s="1">
        <v>177.74</v>
      </c>
      <c r="S6" s="1">
        <v>227.67</v>
      </c>
      <c r="T6" s="1">
        <v>712.84</v>
      </c>
      <c r="U6" s="1">
        <v>15101.68</v>
      </c>
      <c r="V6" s="1">
        <v>653</v>
      </c>
      <c r="W6" s="1">
        <v>136188</v>
      </c>
      <c r="X6" s="1">
        <v>0.458900038615692</v>
      </c>
      <c r="Y6" s="1">
        <v>22.54</v>
      </c>
      <c r="Z6" s="1">
        <v>0.31639999999779</v>
      </c>
      <c r="AA6" s="1">
        <v>7.67111868788419</v>
      </c>
      <c r="AB6" s="1">
        <f t="shared" si="0"/>
        <v>2.03746245714063</v>
      </c>
      <c r="AC6" s="1">
        <v>3.87504036924328</v>
      </c>
      <c r="AD6" s="1">
        <v>0.122129854013744</v>
      </c>
      <c r="AE6" s="1">
        <v>0.977387640449438</v>
      </c>
      <c r="AF6" s="1">
        <v>792</v>
      </c>
      <c r="AG6" s="1">
        <v>0.50638</v>
      </c>
      <c r="AH6" s="2">
        <v>6.57066</v>
      </c>
      <c r="AI6" s="1">
        <v>43.6406301420825</v>
      </c>
      <c r="AJ6" s="1">
        <v>4.34093134213103</v>
      </c>
      <c r="AK6" s="1">
        <v>3.36735938834438</v>
      </c>
      <c r="AL6" s="1">
        <v>3.03785325036974</v>
      </c>
      <c r="AM6" s="1">
        <v>3.07603323167525</v>
      </c>
      <c r="AN6" s="1">
        <v>4390</v>
      </c>
      <c r="AO6" s="1">
        <v>0</v>
      </c>
      <c r="AP6" s="1">
        <v>0</v>
      </c>
      <c r="AQ6" s="1">
        <v>0</v>
      </c>
      <c r="AR6" s="1">
        <v>0.07282096</v>
      </c>
      <c r="AS6" s="1">
        <v>0.03610684</v>
      </c>
      <c r="AT6" s="1">
        <v>0.05589997</v>
      </c>
      <c r="AU6" s="1">
        <v>0.00965618</v>
      </c>
      <c r="AV6" s="1">
        <v>0.04243648</v>
      </c>
      <c r="AW6" s="1">
        <v>0.03865751</v>
      </c>
      <c r="AX6" s="1">
        <v>0.02311068</v>
      </c>
      <c r="AY6" s="1">
        <v>0.07298363</v>
      </c>
      <c r="AZ6" s="1">
        <v>18723</v>
      </c>
      <c r="BA6" s="1">
        <v>1043.221</v>
      </c>
      <c r="BB6" s="1">
        <f t="shared" si="1"/>
        <v>9.83750799360215</v>
      </c>
      <c r="BC6" s="1">
        <v>0.000162</v>
      </c>
      <c r="BD6" s="1">
        <v>1594.95</v>
      </c>
      <c r="BE6" s="1">
        <v>1.96699976921082</v>
      </c>
      <c r="BF6" s="1">
        <v>4.4703993</v>
      </c>
      <c r="BG6" s="1">
        <v>10.1730266</v>
      </c>
      <c r="BH6" s="1">
        <v>17347.372404</v>
      </c>
      <c r="BI6" s="1">
        <f t="shared" si="2"/>
        <v>9.7611963274505</v>
      </c>
      <c r="BJ6" s="1">
        <v>13.735325</v>
      </c>
      <c r="BK6" s="1">
        <v>73207.04</v>
      </c>
      <c r="BL6" s="1">
        <v>43.6406301420825</v>
      </c>
      <c r="BM6" s="1">
        <v>856213</v>
      </c>
      <c r="BN6" s="1">
        <v>7010000</v>
      </c>
      <c r="BO6" s="1">
        <v>0.1221</v>
      </c>
      <c r="BP6" s="1">
        <v>1.128432</v>
      </c>
      <c r="BQ6" s="1">
        <v>43.64063</v>
      </c>
      <c r="BR6" s="1">
        <v>43331.8</v>
      </c>
      <c r="BS6" s="3">
        <v>1700000</v>
      </c>
    </row>
    <row r="7" spans="1:71">
      <c r="A7" s="1" t="s">
        <v>71</v>
      </c>
      <c r="B7" s="1">
        <v>1</v>
      </c>
      <c r="C7" s="1">
        <v>113.536</v>
      </c>
      <c r="D7" s="1">
        <v>23.3484</v>
      </c>
      <c r="E7" s="1">
        <v>2016</v>
      </c>
      <c r="F7" s="1">
        <v>0.649412676427296</v>
      </c>
      <c r="G7" s="1">
        <v>8.53354555378013</v>
      </c>
      <c r="H7" s="1">
        <v>5.45377136939503</v>
      </c>
      <c r="I7" s="1">
        <v>5.48540867911622</v>
      </c>
      <c r="J7" s="1">
        <v>5.41793254902018</v>
      </c>
      <c r="K7" s="1">
        <v>5.41075596611408</v>
      </c>
      <c r="L7" s="1">
        <v>1.227536</v>
      </c>
      <c r="M7" s="1">
        <v>10.1045997868692</v>
      </c>
      <c r="N7" s="1">
        <v>6.7787848</v>
      </c>
      <c r="O7" s="1">
        <v>11.8631174398032</v>
      </c>
      <c r="P7" s="1">
        <v>232.637640259085</v>
      </c>
      <c r="Q7" s="1">
        <v>240.147475750635</v>
      </c>
      <c r="R7" s="1">
        <v>224.412610891006</v>
      </c>
      <c r="S7" s="1">
        <v>222.800709454729</v>
      </c>
      <c r="T7" s="1">
        <v>718.6</v>
      </c>
      <c r="U7" s="1">
        <v>24454.24</v>
      </c>
      <c r="V7" s="1">
        <v>878</v>
      </c>
      <c r="W7" s="1">
        <v>141933</v>
      </c>
      <c r="X7" s="1">
        <v>0.436938060744726</v>
      </c>
      <c r="Y7" s="1">
        <v>18.66</v>
      </c>
      <c r="Z7" s="1">
        <v>0.2942</v>
      </c>
      <c r="AA7" s="1">
        <v>7.72210534257944</v>
      </c>
      <c r="AB7" s="1">
        <f t="shared" si="0"/>
        <v>2.04408703962667</v>
      </c>
      <c r="AC7" s="1">
        <v>3.82775817930551</v>
      </c>
      <c r="AD7" s="1">
        <v>0.121526551724138</v>
      </c>
      <c r="AE7" s="1">
        <v>1.41749482401656</v>
      </c>
      <c r="AF7" s="1">
        <v>855</v>
      </c>
      <c r="AG7" s="1">
        <v>0.565056</v>
      </c>
      <c r="AH7" s="2">
        <v>6.5787</v>
      </c>
      <c r="AI7" s="1">
        <v>43.6406301420825</v>
      </c>
      <c r="AJ7" s="1">
        <v>4.34093134213103</v>
      </c>
      <c r="AK7" s="1">
        <v>3.36735938834438</v>
      </c>
      <c r="AL7" s="1">
        <v>3.03785325036974</v>
      </c>
      <c r="AM7" s="1">
        <v>3.07603323167525</v>
      </c>
      <c r="AN7" s="1">
        <v>4390</v>
      </c>
      <c r="AO7" s="1">
        <v>0</v>
      </c>
      <c r="AP7" s="1">
        <v>0</v>
      </c>
      <c r="AQ7" s="1">
        <v>0</v>
      </c>
      <c r="AR7" s="1">
        <v>0.07282096</v>
      </c>
      <c r="AS7" s="1">
        <v>0.03610684</v>
      </c>
      <c r="AT7" s="1">
        <v>0.05589997</v>
      </c>
      <c r="AU7" s="1">
        <v>0.00965618</v>
      </c>
      <c r="AV7" s="1">
        <v>0.04243648</v>
      </c>
      <c r="AW7" s="1">
        <v>0.03865751</v>
      </c>
      <c r="AX7" s="1">
        <v>0.02311068</v>
      </c>
      <c r="AY7" s="1">
        <v>0.07298363</v>
      </c>
      <c r="AZ7" s="1">
        <v>28478</v>
      </c>
      <c r="BA7" s="1">
        <v>1057.3</v>
      </c>
      <c r="BB7" s="1">
        <f t="shared" si="1"/>
        <v>10.2568871383409</v>
      </c>
      <c r="BC7" s="1">
        <v>0.00036</v>
      </c>
      <c r="BD7" s="1">
        <v>1678.38</v>
      </c>
      <c r="BE7" s="1">
        <v>2.15538835525513</v>
      </c>
      <c r="BF7" s="1">
        <v>19.0635903</v>
      </c>
      <c r="BG7" s="1">
        <v>16.8948422</v>
      </c>
      <c r="BH7" s="1">
        <v>18559.731555</v>
      </c>
      <c r="BI7" s="1">
        <f t="shared" si="2"/>
        <v>9.82874954260413</v>
      </c>
      <c r="BJ7" s="1">
        <v>13.735325</v>
      </c>
      <c r="BK7" s="1">
        <v>77665.48</v>
      </c>
      <c r="BL7" s="1">
        <v>43.6406301420825</v>
      </c>
      <c r="BM7" s="1">
        <v>856213</v>
      </c>
      <c r="BN7" s="1">
        <v>7010000</v>
      </c>
      <c r="BO7" s="1">
        <v>0.1221</v>
      </c>
      <c r="BP7" s="1">
        <v>1.128432</v>
      </c>
      <c r="BQ7" s="1">
        <v>43.64063</v>
      </c>
      <c r="BR7" s="1">
        <v>43331.8</v>
      </c>
      <c r="BS7" s="3">
        <v>1700000</v>
      </c>
    </row>
    <row r="8" spans="1:71">
      <c r="A8" s="1" t="s">
        <v>71</v>
      </c>
      <c r="B8" s="1">
        <v>1</v>
      </c>
      <c r="C8" s="1">
        <v>113.536</v>
      </c>
      <c r="D8" s="1">
        <v>23.3484</v>
      </c>
      <c r="E8" s="1">
        <v>2017</v>
      </c>
      <c r="F8" s="1">
        <v>0.751198662449381</v>
      </c>
      <c r="G8" s="1">
        <v>8.31834589512872</v>
      </c>
      <c r="H8" s="1">
        <v>5.5901937122254</v>
      </c>
      <c r="I8" s="1">
        <v>5.55167424837769</v>
      </c>
      <c r="J8" s="1">
        <v>5.68582522604091</v>
      </c>
      <c r="K8" s="1">
        <v>5.53094764106797</v>
      </c>
      <c r="L8" s="1">
        <v>1.227536</v>
      </c>
      <c r="M8" s="1">
        <v>11.4042027478869</v>
      </c>
      <c r="N8" s="1">
        <v>6.9246125</v>
      </c>
      <c r="O8" s="1">
        <v>11.92290560961</v>
      </c>
      <c r="P8" s="1">
        <v>266.787488353399</v>
      </c>
      <c r="Q8" s="1">
        <v>256.668596208318</v>
      </c>
      <c r="R8" s="1">
        <v>293.660906550357</v>
      </c>
      <c r="S8" s="1">
        <v>251.382966247917</v>
      </c>
      <c r="T8" s="1">
        <v>770.9941</v>
      </c>
      <c r="U8" s="1">
        <v>89696.91</v>
      </c>
      <c r="V8" s="1">
        <v>1016</v>
      </c>
      <c r="W8" s="1">
        <v>150677.7867</v>
      </c>
      <c r="X8" s="1">
        <v>0.451818420886732</v>
      </c>
      <c r="Y8" s="1">
        <v>17.69</v>
      </c>
      <c r="Z8" s="4">
        <v>0.285</v>
      </c>
      <c r="AA8" s="1">
        <v>7.76175838473839</v>
      </c>
      <c r="AB8" s="1">
        <f t="shared" si="0"/>
        <v>2.04920890449758</v>
      </c>
      <c r="AC8" s="1">
        <v>3.84340220156379</v>
      </c>
      <c r="AD8" s="1">
        <v>0.118856904231626</v>
      </c>
      <c r="AE8" s="1">
        <v>0.802839593193032</v>
      </c>
      <c r="AF8" s="1">
        <v>1479</v>
      </c>
      <c r="AG8" s="1">
        <v>0.546416</v>
      </c>
      <c r="AH8" s="2">
        <v>6.64898</v>
      </c>
      <c r="AI8" s="1">
        <v>43.6406301420825</v>
      </c>
      <c r="AJ8" s="1">
        <v>4.34093134213103</v>
      </c>
      <c r="AK8" s="1">
        <v>3.36735938834438</v>
      </c>
      <c r="AL8" s="1">
        <v>3.03785325036974</v>
      </c>
      <c r="AM8" s="1">
        <v>3.07603323167525</v>
      </c>
      <c r="AN8" s="1">
        <v>4390</v>
      </c>
      <c r="AO8" s="1">
        <v>0</v>
      </c>
      <c r="AP8" s="1">
        <v>0</v>
      </c>
      <c r="AQ8" s="1">
        <v>0</v>
      </c>
      <c r="AR8" s="1">
        <v>0.07282096</v>
      </c>
      <c r="AS8" s="1">
        <v>0.03610684</v>
      </c>
      <c r="AT8" s="1">
        <v>0.05589997</v>
      </c>
      <c r="AU8" s="1">
        <v>0.00965618</v>
      </c>
      <c r="AV8" s="1">
        <v>0.04243648</v>
      </c>
      <c r="AW8" s="1">
        <v>0.03865751</v>
      </c>
      <c r="AX8" s="1">
        <v>0.02311068</v>
      </c>
      <c r="AY8" s="1">
        <v>0.07298363</v>
      </c>
      <c r="AZ8" s="1">
        <v>38002</v>
      </c>
      <c r="BA8" s="1">
        <v>1067.3</v>
      </c>
      <c r="BB8" s="1">
        <f t="shared" si="1"/>
        <v>10.5453940689025</v>
      </c>
      <c r="BC8" s="1">
        <v>0.000886</v>
      </c>
      <c r="BD8" s="1">
        <v>1746.27</v>
      </c>
      <c r="BE8" s="1">
        <v>2.33037209510803</v>
      </c>
      <c r="BF8" s="1">
        <v>125.2445428</v>
      </c>
      <c r="BG8" s="1">
        <v>20.943816</v>
      </c>
      <c r="BH8" s="1">
        <v>19871.66789</v>
      </c>
      <c r="BI8" s="1">
        <f t="shared" si="2"/>
        <v>9.89705027213381</v>
      </c>
      <c r="BJ8" s="1">
        <v>13.735325</v>
      </c>
      <c r="BK8" s="1">
        <v>82516.61</v>
      </c>
      <c r="BL8" s="1">
        <v>43.6406301420825</v>
      </c>
      <c r="BM8" s="1">
        <v>856213</v>
      </c>
      <c r="BN8" s="1">
        <v>7010000</v>
      </c>
      <c r="BO8" s="1">
        <v>0.1221</v>
      </c>
      <c r="BP8" s="1">
        <v>1.128432</v>
      </c>
      <c r="BQ8" s="1">
        <v>43.64063</v>
      </c>
      <c r="BR8" s="1">
        <v>43331.8</v>
      </c>
      <c r="BS8" s="3">
        <v>1700000</v>
      </c>
    </row>
    <row r="9" spans="1:71">
      <c r="A9" s="1" t="s">
        <v>71</v>
      </c>
      <c r="B9" s="1">
        <v>1</v>
      </c>
      <c r="C9" s="1">
        <v>113.536</v>
      </c>
      <c r="D9" s="1">
        <v>23.3484</v>
      </c>
      <c r="E9" s="1">
        <v>2018</v>
      </c>
      <c r="F9" s="1">
        <v>1.00098424749142</v>
      </c>
      <c r="G9" s="1">
        <v>8.36920865903394</v>
      </c>
      <c r="H9" s="1">
        <v>5.6477892225751</v>
      </c>
      <c r="I9" s="1">
        <v>5.61549168283708</v>
      </c>
      <c r="J9" s="1">
        <v>5.66758491192189</v>
      </c>
      <c r="K9" s="1">
        <v>5.71420670640192</v>
      </c>
      <c r="L9" s="1">
        <v>1.227536</v>
      </c>
      <c r="M9" s="1">
        <v>10.6883892809446</v>
      </c>
      <c r="N9" s="1">
        <v>6.9744787</v>
      </c>
      <c r="O9" s="1">
        <v>11.9543495623326</v>
      </c>
      <c r="P9" s="1">
        <v>282.663654896778</v>
      </c>
      <c r="Q9" s="1">
        <v>273.648385905736</v>
      </c>
      <c r="R9" s="1">
        <v>288.334920592194</v>
      </c>
      <c r="S9" s="1">
        <v>302.143625989022</v>
      </c>
      <c r="T9" s="1">
        <v>820.3244</v>
      </c>
      <c r="U9" s="1">
        <v>43842.83</v>
      </c>
      <c r="V9" s="1">
        <v>1068</v>
      </c>
      <c r="W9" s="1">
        <v>155491</v>
      </c>
      <c r="X9" s="1">
        <v>0.429215605199853</v>
      </c>
      <c r="Y9" s="1">
        <v>15.34</v>
      </c>
      <c r="Z9" s="1">
        <v>0.272700000001312</v>
      </c>
      <c r="AA9" s="1">
        <v>7.79102353609524</v>
      </c>
      <c r="AB9" s="1">
        <f t="shared" si="0"/>
        <v>2.05297224227796</v>
      </c>
      <c r="AC9" s="1">
        <v>4.04263110821743</v>
      </c>
      <c r="AD9" s="1">
        <v>0.117069719827586</v>
      </c>
      <c r="AE9" s="1">
        <v>0.71431543903454</v>
      </c>
      <c r="AF9" s="1">
        <v>983</v>
      </c>
      <c r="AG9" s="1">
        <v>0.591964</v>
      </c>
      <c r="AH9" s="2">
        <v>6.71092</v>
      </c>
      <c r="AI9" s="1">
        <v>43.6406301420825</v>
      </c>
      <c r="AJ9" s="1">
        <v>4.34093134213103</v>
      </c>
      <c r="AK9" s="1">
        <v>3.36735938834438</v>
      </c>
      <c r="AL9" s="1">
        <v>3.03785325036974</v>
      </c>
      <c r="AM9" s="1">
        <v>3.07603323167525</v>
      </c>
      <c r="AN9" s="1">
        <v>4390</v>
      </c>
      <c r="AO9" s="1">
        <v>0</v>
      </c>
      <c r="AP9" s="1">
        <v>0</v>
      </c>
      <c r="AQ9" s="1">
        <v>0</v>
      </c>
      <c r="AR9" s="1">
        <v>0.07282096</v>
      </c>
      <c r="AS9" s="1">
        <v>0.03610684</v>
      </c>
      <c r="AT9" s="1">
        <v>0.05589997</v>
      </c>
      <c r="AU9" s="1">
        <v>0.00965618</v>
      </c>
      <c r="AV9" s="1">
        <v>0.04243648</v>
      </c>
      <c r="AW9" s="1">
        <v>0.03865751</v>
      </c>
      <c r="AX9" s="1">
        <v>0.02311068</v>
      </c>
      <c r="AY9" s="1">
        <v>0.07298363</v>
      </c>
      <c r="AZ9" s="1">
        <v>48885</v>
      </c>
      <c r="BA9" s="1">
        <v>1086.407</v>
      </c>
      <c r="BB9" s="1">
        <f t="shared" si="1"/>
        <v>10.7972258799398</v>
      </c>
      <c r="BC9" s="1">
        <v>0.00156</v>
      </c>
      <c r="BD9" s="1">
        <v>1798.13</v>
      </c>
      <c r="BE9" s="1">
        <v>2.3999080657959</v>
      </c>
      <c r="BF9" s="1">
        <v>12.0129704</v>
      </c>
      <c r="BG9" s="1">
        <v>22.8752334</v>
      </c>
      <c r="BH9" s="1">
        <v>21002.4435</v>
      </c>
      <c r="BI9" s="1">
        <f t="shared" si="2"/>
        <v>9.95239406707945</v>
      </c>
      <c r="BJ9" s="1">
        <v>13.735325</v>
      </c>
      <c r="BK9" s="1">
        <v>87112.71</v>
      </c>
      <c r="BL9" s="1">
        <v>43.6406301420825</v>
      </c>
      <c r="BM9" s="1">
        <v>856213</v>
      </c>
      <c r="BN9" s="1">
        <v>7010000</v>
      </c>
      <c r="BO9" s="1">
        <v>0.1221</v>
      </c>
      <c r="BP9" s="1">
        <v>1.128432</v>
      </c>
      <c r="BQ9" s="1">
        <v>43.64063</v>
      </c>
      <c r="BR9" s="1">
        <v>43331.8</v>
      </c>
      <c r="BS9" s="3">
        <v>1700000</v>
      </c>
    </row>
    <row r="10" spans="1:71">
      <c r="A10" s="1" t="s">
        <v>71</v>
      </c>
      <c r="B10" s="1">
        <v>1</v>
      </c>
      <c r="C10" s="1">
        <v>113.536</v>
      </c>
      <c r="D10" s="1">
        <v>23.3484</v>
      </c>
      <c r="E10" s="1">
        <v>2019</v>
      </c>
      <c r="F10" s="1">
        <v>0.672038972461717</v>
      </c>
      <c r="G10" s="1">
        <v>8.29850722753061</v>
      </c>
      <c r="H10" s="1">
        <v>5.70688208090961</v>
      </c>
      <c r="I10" s="1">
        <v>5.68331376155411</v>
      </c>
      <c r="J10" s="1">
        <v>5.71138048751215</v>
      </c>
      <c r="K10" s="1">
        <v>5.77340038974047</v>
      </c>
      <c r="L10" s="1">
        <v>1.227536</v>
      </c>
      <c r="M10" s="1">
        <v>10.9298801620257</v>
      </c>
      <c r="N10" s="1">
        <v>7.022868</v>
      </c>
      <c r="O10" s="1">
        <v>11.9603537568344</v>
      </c>
      <c r="P10" s="1">
        <v>299.931324482189</v>
      </c>
      <c r="Q10" s="1">
        <v>292.921804743108</v>
      </c>
      <c r="R10" s="1">
        <v>301.288085315334</v>
      </c>
      <c r="S10" s="1">
        <v>320.629541118096</v>
      </c>
      <c r="T10" s="1">
        <v>883.517</v>
      </c>
      <c r="U10" s="1">
        <v>55818.59</v>
      </c>
      <c r="V10" s="1">
        <v>1121</v>
      </c>
      <c r="W10" s="1">
        <v>156427.4126</v>
      </c>
      <c r="X10" s="1">
        <v>0.423260154614439</v>
      </c>
      <c r="Y10" s="1">
        <v>32.78</v>
      </c>
      <c r="Z10" s="1">
        <v>0.2731</v>
      </c>
      <c r="AA10" s="1">
        <v>7.80925325064239</v>
      </c>
      <c r="AB10" s="1">
        <f t="shared" si="0"/>
        <v>2.05530934476582</v>
      </c>
      <c r="AC10" s="1">
        <v>4.35309550965986</v>
      </c>
      <c r="AD10" s="1">
        <v>0.120858909853249</v>
      </c>
      <c r="AE10" s="1">
        <v>0.778507795100223</v>
      </c>
      <c r="AF10" s="1">
        <v>650</v>
      </c>
      <c r="AG10" s="1">
        <v>0.623844</v>
      </c>
      <c r="AH10" s="2">
        <v>6.78504</v>
      </c>
      <c r="AI10" s="1">
        <v>43.6406301420825</v>
      </c>
      <c r="AJ10" s="1">
        <v>4.34093134213103</v>
      </c>
      <c r="AK10" s="1">
        <v>3.36735938834438</v>
      </c>
      <c r="AL10" s="1">
        <v>3.03785325036974</v>
      </c>
      <c r="AM10" s="1">
        <v>3.07603323167525</v>
      </c>
      <c r="AN10" s="1">
        <v>4390</v>
      </c>
      <c r="AO10" s="1">
        <v>0</v>
      </c>
      <c r="AP10" s="1">
        <v>0</v>
      </c>
      <c r="AQ10" s="1">
        <v>0</v>
      </c>
      <c r="AR10" s="1">
        <v>0.07282096</v>
      </c>
      <c r="AS10" s="1">
        <v>0.03610684</v>
      </c>
      <c r="AT10" s="1">
        <v>0.05589997</v>
      </c>
      <c r="AU10" s="1">
        <v>0.00965618</v>
      </c>
      <c r="AV10" s="1">
        <v>0.04243648</v>
      </c>
      <c r="AW10" s="1">
        <v>0.03865751</v>
      </c>
      <c r="AX10" s="1">
        <v>0.02311068</v>
      </c>
      <c r="AY10" s="1">
        <v>0.07298363</v>
      </c>
      <c r="AZ10" s="1">
        <v>50777</v>
      </c>
      <c r="BA10" s="1">
        <v>1140.949</v>
      </c>
      <c r="BB10" s="1">
        <f t="shared" si="1"/>
        <v>10.8351987751362</v>
      </c>
      <c r="BC10" s="1">
        <v>0.000511</v>
      </c>
      <c r="BD10" s="1">
        <v>1831.21</v>
      </c>
      <c r="BE10" s="1">
        <v>2.62515163421631</v>
      </c>
      <c r="BF10" s="1">
        <v>5.0238649</v>
      </c>
      <c r="BG10" s="1">
        <v>26.9868888</v>
      </c>
      <c r="BH10" s="1">
        <v>23844.6939774386</v>
      </c>
      <c r="BI10" s="1">
        <f t="shared" si="2"/>
        <v>10.0793169968248</v>
      </c>
      <c r="BJ10" s="1">
        <v>13.735325</v>
      </c>
      <c r="BK10" s="1">
        <v>93491.74</v>
      </c>
      <c r="BL10" s="1">
        <v>43.6406301420825</v>
      </c>
      <c r="BM10" s="1">
        <v>856213</v>
      </c>
      <c r="BN10" s="1">
        <v>7010000</v>
      </c>
      <c r="BO10" s="1">
        <v>0.1221</v>
      </c>
      <c r="BP10" s="1">
        <v>1.128432</v>
      </c>
      <c r="BQ10" s="1">
        <v>43.64063</v>
      </c>
      <c r="BR10" s="1">
        <v>43331.8</v>
      </c>
      <c r="BS10" s="3">
        <v>1700000</v>
      </c>
    </row>
    <row r="11" spans="1:71">
      <c r="A11" s="1" t="s">
        <v>71</v>
      </c>
      <c r="B11" s="1">
        <v>1</v>
      </c>
      <c r="C11" s="1">
        <v>113.536</v>
      </c>
      <c r="D11" s="1">
        <v>23.3484</v>
      </c>
      <c r="E11" s="1">
        <v>2020</v>
      </c>
      <c r="F11" s="1">
        <v>0.726326242486216</v>
      </c>
      <c r="G11" s="1">
        <v>8.36734700060245</v>
      </c>
      <c r="H11" s="1">
        <v>5.74088090627258</v>
      </c>
      <c r="I11" s="1">
        <v>5.72294320186094</v>
      </c>
      <c r="J11" s="1">
        <v>5.76191416487566</v>
      </c>
      <c r="K11" s="1">
        <v>5.76081820637841</v>
      </c>
      <c r="L11" s="1">
        <v>1.227536</v>
      </c>
      <c r="M11" s="1">
        <v>11.2091287801271</v>
      </c>
      <c r="N11" s="1">
        <v>7.049255</v>
      </c>
      <c r="O11" s="1">
        <v>11.8133868382111</v>
      </c>
      <c r="P11" s="1">
        <v>310.338550330088</v>
      </c>
      <c r="Q11" s="1">
        <v>304.803641600558</v>
      </c>
      <c r="R11" s="1">
        <v>316.956367720518</v>
      </c>
      <c r="S11" s="1">
        <v>316.608091590539</v>
      </c>
      <c r="T11" s="1">
        <v>469.66</v>
      </c>
      <c r="U11" s="1">
        <v>73800.09</v>
      </c>
      <c r="V11" s="1">
        <v>1151</v>
      </c>
      <c r="W11" s="1">
        <v>135047.174</v>
      </c>
      <c r="X11" s="1">
        <v>0.380985468803414</v>
      </c>
      <c r="Y11" s="1">
        <v>29.55</v>
      </c>
      <c r="Z11" s="1">
        <v>0.2634</v>
      </c>
      <c r="AA11" s="1">
        <v>7.8323674923271</v>
      </c>
      <c r="AB11" s="1">
        <f t="shared" si="0"/>
        <v>2.05826482602822</v>
      </c>
      <c r="AC11" s="1">
        <v>4.76239421006413</v>
      </c>
      <c r="AD11" s="1">
        <v>0.13297497456765</v>
      </c>
      <c r="AE11" s="1">
        <v>0.509398663697105</v>
      </c>
      <c r="AF11" s="1">
        <v>732</v>
      </c>
      <c r="AG11" s="1">
        <v>0.5716</v>
      </c>
      <c r="AH11" s="2">
        <v>6.15414</v>
      </c>
      <c r="AI11" s="1">
        <v>43.6406301420825</v>
      </c>
      <c r="AJ11" s="1">
        <v>4.34093134213103</v>
      </c>
      <c r="AK11" s="1">
        <v>3.36735938834438</v>
      </c>
      <c r="AL11" s="1">
        <v>3.03785325036974</v>
      </c>
      <c r="AM11" s="1">
        <v>3.07603323167525</v>
      </c>
      <c r="AN11" s="1">
        <v>4390</v>
      </c>
      <c r="AO11" s="1">
        <v>0</v>
      </c>
      <c r="AP11" s="1">
        <v>0</v>
      </c>
      <c r="AQ11" s="1">
        <v>0</v>
      </c>
      <c r="AR11" s="1">
        <v>0.07282096</v>
      </c>
      <c r="AS11" s="1">
        <v>0.03610684</v>
      </c>
      <c r="AT11" s="1">
        <v>0.05589997</v>
      </c>
      <c r="AU11" s="1">
        <v>0.00965618</v>
      </c>
      <c r="AV11" s="1">
        <v>0.04243648</v>
      </c>
      <c r="AW11" s="1">
        <v>0.03865751</v>
      </c>
      <c r="AX11" s="1">
        <v>0.02311068</v>
      </c>
      <c r="AY11" s="1">
        <v>0.07298363</v>
      </c>
      <c r="AZ11" s="1">
        <v>62156</v>
      </c>
      <c r="BA11" s="1">
        <v>1307.144</v>
      </c>
      <c r="BB11" s="1">
        <f t="shared" si="1"/>
        <v>11.0374026329066</v>
      </c>
      <c r="BC11" s="1">
        <v>0.000421</v>
      </c>
      <c r="BD11" s="1">
        <v>1874.03</v>
      </c>
      <c r="BE11" s="1">
        <v>2.7525897026062</v>
      </c>
      <c r="BF11" s="1">
        <v>20.0163674</v>
      </c>
      <c r="BG11" s="1">
        <v>22.4038114</v>
      </c>
      <c r="BH11" s="1">
        <v>25019.1096</v>
      </c>
      <c r="BI11" s="1">
        <f t="shared" si="2"/>
        <v>10.1273951958577</v>
      </c>
      <c r="BJ11" s="1">
        <v>13.735325</v>
      </c>
      <c r="BK11" s="1">
        <v>96368.11</v>
      </c>
      <c r="BL11" s="1">
        <v>43.6406301420825</v>
      </c>
      <c r="BM11" s="1">
        <v>856213</v>
      </c>
      <c r="BN11" s="1">
        <v>7010000</v>
      </c>
      <c r="BO11" s="1">
        <v>0.1221</v>
      </c>
      <c r="BP11" s="1">
        <v>1.128432</v>
      </c>
      <c r="BQ11" s="1">
        <v>43.64063</v>
      </c>
      <c r="BR11" s="1">
        <v>43331.8</v>
      </c>
      <c r="BS11" s="3">
        <v>1700000</v>
      </c>
    </row>
    <row r="12" spans="1:71">
      <c r="A12" s="1" t="s">
        <v>71</v>
      </c>
      <c r="B12" s="1">
        <v>1</v>
      </c>
      <c r="C12" s="1">
        <v>113.536</v>
      </c>
      <c r="D12" s="1">
        <v>23.3484</v>
      </c>
      <c r="E12" s="1">
        <v>2021</v>
      </c>
      <c r="F12" s="1">
        <v>1.02580869533019</v>
      </c>
      <c r="G12" s="1">
        <v>8.38581565175563</v>
      </c>
      <c r="H12" s="1">
        <v>5.81307556898023</v>
      </c>
      <c r="I12" s="1">
        <v>5.82968690425994</v>
      </c>
      <c r="J12" s="1">
        <v>5.80962151370344</v>
      </c>
      <c r="K12" s="1">
        <v>5.76285360116851</v>
      </c>
      <c r="L12" s="1">
        <v>1.227536</v>
      </c>
      <c r="M12" s="1">
        <v>10.0469963796069</v>
      </c>
      <c r="N12" s="1">
        <v>7.786967</v>
      </c>
      <c r="O12" s="1">
        <v>11.6178329763371</v>
      </c>
      <c r="P12" s="1">
        <v>333.646773813193</v>
      </c>
      <c r="Q12" s="1">
        <v>339.252130856685</v>
      </c>
      <c r="R12" s="1">
        <v>332.492879269748</v>
      </c>
      <c r="S12" s="1">
        <v>317.255207769384</v>
      </c>
      <c r="T12" s="1">
        <v>532.0352</v>
      </c>
      <c r="U12" s="1">
        <v>23085.34</v>
      </c>
      <c r="V12" s="1">
        <v>2408</v>
      </c>
      <c r="W12" s="1">
        <v>111059.7887</v>
      </c>
      <c r="X12" s="1">
        <v>0.383433750378764</v>
      </c>
      <c r="Y12" s="1">
        <v>22.28</v>
      </c>
      <c r="Z12" s="1">
        <v>0.2736</v>
      </c>
      <c r="AA12" s="1">
        <v>7.83611174783792</v>
      </c>
      <c r="AB12" s="1">
        <f t="shared" si="0"/>
        <v>2.0587427608073</v>
      </c>
      <c r="AC12" s="1">
        <v>4.71407648794391</v>
      </c>
      <c r="AD12" s="1">
        <v>0.139581916996047</v>
      </c>
      <c r="AE12" s="1">
        <v>0.61375943186862</v>
      </c>
      <c r="AF12" s="1">
        <v>741</v>
      </c>
      <c r="AG12" s="1">
        <v>0.58876</v>
      </c>
      <c r="AH12" s="2">
        <v>6.27859</v>
      </c>
      <c r="AI12" s="1">
        <v>43.6406301420825</v>
      </c>
      <c r="AJ12" s="1">
        <v>4.34093134213103</v>
      </c>
      <c r="AK12" s="1">
        <v>3.36735938834438</v>
      </c>
      <c r="AL12" s="1">
        <v>3.03785325036974</v>
      </c>
      <c r="AM12" s="1">
        <v>3.07603323167525</v>
      </c>
      <c r="AN12" s="1">
        <v>4390</v>
      </c>
      <c r="AO12" s="1">
        <v>0</v>
      </c>
      <c r="AP12" s="1">
        <v>0</v>
      </c>
      <c r="AQ12" s="1">
        <v>0</v>
      </c>
      <c r="AR12" s="1">
        <v>0.07282096</v>
      </c>
      <c r="AS12" s="1">
        <v>0.03610684</v>
      </c>
      <c r="AT12" s="1">
        <v>0.05589997</v>
      </c>
      <c r="AU12" s="1">
        <v>0.00965618</v>
      </c>
      <c r="AV12" s="1">
        <v>0.04243648</v>
      </c>
      <c r="AW12" s="1">
        <v>0.03865751</v>
      </c>
      <c r="AX12" s="1">
        <v>0.02311068</v>
      </c>
      <c r="AY12" s="1">
        <v>0.07298363</v>
      </c>
      <c r="AZ12" s="1">
        <v>57104</v>
      </c>
      <c r="BA12" s="1">
        <v>1412.569</v>
      </c>
      <c r="BB12" s="1">
        <f t="shared" si="1"/>
        <v>10.9526294457299</v>
      </c>
      <c r="BC12" s="1">
        <v>0.000284</v>
      </c>
      <c r="BD12" s="1">
        <v>1881.06</v>
      </c>
      <c r="BE12" s="1">
        <v>2.61605143547058</v>
      </c>
      <c r="BF12" s="1">
        <v>1429.3513514</v>
      </c>
      <c r="BG12" s="1">
        <v>21.5910502</v>
      </c>
      <c r="BH12" s="1">
        <v>28231.9682</v>
      </c>
      <c r="BI12" s="1">
        <f t="shared" si="2"/>
        <v>10.2482102389731</v>
      </c>
      <c r="BJ12" s="1">
        <v>13.735325</v>
      </c>
      <c r="BK12" s="1">
        <v>111600.8</v>
      </c>
      <c r="BL12" s="1">
        <v>43.6406301420825</v>
      </c>
      <c r="BM12" s="1">
        <v>856213</v>
      </c>
      <c r="BN12" s="1">
        <v>7010000</v>
      </c>
      <c r="BO12" s="1">
        <v>0.1221</v>
      </c>
      <c r="BP12" s="1">
        <v>1.128432</v>
      </c>
      <c r="BQ12" s="1">
        <v>43.64063</v>
      </c>
      <c r="BR12" s="1">
        <v>43331.8</v>
      </c>
      <c r="BS12" s="3">
        <v>1700000</v>
      </c>
    </row>
    <row r="13" spans="1:71">
      <c r="A13" s="1" t="s">
        <v>71</v>
      </c>
      <c r="B13" s="1">
        <v>1</v>
      </c>
      <c r="C13" s="1">
        <v>113.536</v>
      </c>
      <c r="D13" s="1">
        <v>23.3484</v>
      </c>
      <c r="E13" s="1">
        <v>2022</v>
      </c>
      <c r="F13" s="1">
        <v>1.0154219274464</v>
      </c>
      <c r="G13" s="1">
        <v>7.99948882122803</v>
      </c>
      <c r="H13" s="1">
        <v>5.82177530163817</v>
      </c>
      <c r="I13" s="1">
        <v>5.89079987646944</v>
      </c>
      <c r="J13" s="1">
        <v>5.70998254145776</v>
      </c>
      <c r="K13" s="1">
        <v>5.77708602079844</v>
      </c>
      <c r="L13" s="1">
        <v>1.227536</v>
      </c>
      <c r="M13" s="1">
        <v>10.058415644386</v>
      </c>
      <c r="N13" s="1">
        <v>8.024207</v>
      </c>
      <c r="O13" s="1">
        <v>11.9422763562043</v>
      </c>
      <c r="P13" s="1">
        <v>336.570811959384</v>
      </c>
      <c r="Q13" s="1">
        <v>360.694479646857</v>
      </c>
      <c r="R13" s="1">
        <v>300.865798116405</v>
      </c>
      <c r="S13" s="1">
        <v>321.817136143041</v>
      </c>
      <c r="T13" s="1">
        <v>488.4494</v>
      </c>
      <c r="U13" s="1">
        <v>23350.48</v>
      </c>
      <c r="V13" s="1">
        <v>3053</v>
      </c>
      <c r="W13" s="1">
        <v>153625</v>
      </c>
      <c r="X13" s="1">
        <v>0.379638717953489</v>
      </c>
      <c r="Y13" s="1">
        <v>15.45</v>
      </c>
      <c r="Z13" s="1">
        <v>0.2743</v>
      </c>
      <c r="AA13" s="1">
        <v>7.8320365997681</v>
      </c>
      <c r="AB13" s="1">
        <f t="shared" si="0"/>
        <v>2.05822257832353</v>
      </c>
      <c r="AC13" s="1">
        <v>5.08076195117657</v>
      </c>
      <c r="AD13" s="1">
        <v>0.143891400966184</v>
      </c>
      <c r="AE13" s="1">
        <v>0.93221449038068</v>
      </c>
      <c r="AF13" s="1">
        <v>570</v>
      </c>
      <c r="AG13" s="1">
        <v>0.650916</v>
      </c>
      <c r="AH13" s="2">
        <v>6.19328</v>
      </c>
      <c r="AI13" s="1">
        <v>43.6406301420825</v>
      </c>
      <c r="AJ13" s="1">
        <v>4.34093134213103</v>
      </c>
      <c r="AK13" s="1">
        <v>3.36735938834438</v>
      </c>
      <c r="AL13" s="1">
        <v>3.03785325036974</v>
      </c>
      <c r="AM13" s="1">
        <v>3.07603323167525</v>
      </c>
      <c r="AN13" s="1">
        <v>4390</v>
      </c>
      <c r="AO13" s="1">
        <v>0</v>
      </c>
      <c r="AP13" s="1">
        <v>0</v>
      </c>
      <c r="AQ13" s="1">
        <v>0</v>
      </c>
      <c r="AR13" s="1">
        <v>0.07282096</v>
      </c>
      <c r="AS13" s="1">
        <v>0.03610684</v>
      </c>
      <c r="AT13" s="1">
        <v>0.05589997</v>
      </c>
      <c r="AU13" s="1">
        <v>0.00965618</v>
      </c>
      <c r="AV13" s="1">
        <v>0.04243648</v>
      </c>
      <c r="AW13" s="1">
        <v>0.03865751</v>
      </c>
      <c r="AX13" s="1">
        <v>0.02311068</v>
      </c>
      <c r="AY13" s="1">
        <v>0.07298363</v>
      </c>
      <c r="AZ13" s="1">
        <v>50072</v>
      </c>
      <c r="BA13" s="1">
        <v>1489.276</v>
      </c>
      <c r="BB13" s="1">
        <f t="shared" si="1"/>
        <v>10.8212172486045</v>
      </c>
      <c r="BC13" s="1">
        <v>0.000485</v>
      </c>
      <c r="BD13" s="1">
        <v>1873.41</v>
      </c>
      <c r="BE13" s="1">
        <v>2.6060184599823</v>
      </c>
      <c r="BF13" s="1">
        <v>94283.020604</v>
      </c>
      <c r="BG13" s="1">
        <v>16.7595095</v>
      </c>
      <c r="BH13" s="1">
        <v>28839</v>
      </c>
      <c r="BI13" s="1">
        <f t="shared" si="2"/>
        <v>10.2694839167339</v>
      </c>
      <c r="BJ13" s="1">
        <v>13.735325</v>
      </c>
      <c r="BK13" s="1">
        <v>116448.6</v>
      </c>
      <c r="BL13" s="1">
        <v>43.6406301420825</v>
      </c>
      <c r="BM13" s="1">
        <v>856213</v>
      </c>
      <c r="BN13" s="1">
        <v>7010000</v>
      </c>
      <c r="BO13" s="1">
        <v>0.1221</v>
      </c>
      <c r="BP13" s="1">
        <v>1.128432</v>
      </c>
      <c r="BQ13" s="1">
        <v>43.64063</v>
      </c>
      <c r="BR13" s="1">
        <v>43331.8</v>
      </c>
      <c r="BS13" s="3">
        <v>1700000</v>
      </c>
    </row>
    <row r="14" spans="1:71">
      <c r="A14" s="1" t="s">
        <v>72</v>
      </c>
      <c r="B14" s="1">
        <v>2</v>
      </c>
      <c r="C14" s="1">
        <v>113.775</v>
      </c>
      <c r="D14" s="1">
        <v>24.8205</v>
      </c>
      <c r="E14" s="1">
        <v>2011</v>
      </c>
      <c r="F14" s="1">
        <v>0.257726678815959</v>
      </c>
      <c r="G14" s="1">
        <v>6.69354794324235</v>
      </c>
      <c r="H14" s="1">
        <v>4.04234926710372</v>
      </c>
      <c r="I14" s="1">
        <v>3.92513664457352</v>
      </c>
      <c r="J14" s="1">
        <v>4.18631584076091</v>
      </c>
      <c r="K14" s="1">
        <v>4.12244599233297</v>
      </c>
      <c r="L14" s="1">
        <v>0.3175846</v>
      </c>
      <c r="M14" s="1">
        <v>0</v>
      </c>
      <c r="N14" s="1">
        <v>1.9459102</v>
      </c>
      <c r="O14" s="1">
        <v>10.2667755817451</v>
      </c>
      <c r="P14" s="1">
        <v>55.96</v>
      </c>
      <c r="Q14" s="1">
        <v>49.66</v>
      </c>
      <c r="R14" s="1">
        <v>64.78</v>
      </c>
      <c r="S14" s="1">
        <v>60.71</v>
      </c>
      <c r="T14" s="1">
        <v>52.39</v>
      </c>
      <c r="U14" s="1">
        <v>0</v>
      </c>
      <c r="V14" s="1">
        <v>6</v>
      </c>
      <c r="W14" s="1">
        <v>28760</v>
      </c>
      <c r="X14" s="1">
        <v>0.1406969535651</v>
      </c>
      <c r="Y14" s="1">
        <v>2.4</v>
      </c>
      <c r="Z14" s="1">
        <v>0.425100000024486</v>
      </c>
      <c r="AA14" s="1">
        <v>5.03930554384909</v>
      </c>
      <c r="AB14" s="1">
        <f t="shared" si="0"/>
        <v>1.61726828367068</v>
      </c>
      <c r="AC14" s="1">
        <v>1.75144079535184</v>
      </c>
      <c r="AD14" s="1">
        <v>0.0102229299363057</v>
      </c>
      <c r="AE14" s="1">
        <v>1.28997575629809</v>
      </c>
      <c r="AF14" s="1">
        <v>0</v>
      </c>
      <c r="AG14" s="1">
        <v>0.355012</v>
      </c>
      <c r="AH14" s="2">
        <v>3.97762</v>
      </c>
      <c r="AI14" s="1">
        <v>67.1203723192778</v>
      </c>
      <c r="AJ14" s="1">
        <v>0.215975861521359</v>
      </c>
      <c r="AK14" s="1">
        <v>0.334405956211748</v>
      </c>
      <c r="AL14" s="1">
        <v>0.200841021778698</v>
      </c>
      <c r="AM14" s="1">
        <v>0.271603396603397</v>
      </c>
      <c r="AN14" s="1">
        <v>969</v>
      </c>
      <c r="AO14" s="1">
        <v>0.04402162</v>
      </c>
      <c r="AP14" s="1">
        <v>0.05350368</v>
      </c>
      <c r="AQ14" s="1">
        <v>0.05009496</v>
      </c>
      <c r="AR14" s="1">
        <v>0.02949767</v>
      </c>
      <c r="AS14" s="1">
        <v>0.05306987</v>
      </c>
      <c r="AT14" s="1">
        <v>0.03328139</v>
      </c>
      <c r="AU14" s="1">
        <v>0.06866957</v>
      </c>
      <c r="AV14" s="1">
        <v>0.02914562</v>
      </c>
      <c r="AW14" s="1">
        <v>0</v>
      </c>
      <c r="AX14" s="1">
        <v>0.03937238</v>
      </c>
      <c r="AY14" s="1">
        <v>0.03886711</v>
      </c>
      <c r="AZ14" s="1">
        <v>187</v>
      </c>
      <c r="BA14" s="1">
        <v>33.705</v>
      </c>
      <c r="BB14" s="1">
        <f t="shared" si="1"/>
        <v>5.23110861685459</v>
      </c>
      <c r="BC14" s="1">
        <v>0</v>
      </c>
      <c r="BD14" s="1">
        <v>329.7</v>
      </c>
      <c r="BE14" s="1">
        <v>1.02635216712952</v>
      </c>
      <c r="BF14" s="1">
        <v>-21.924773</v>
      </c>
      <c r="BG14" s="1">
        <v>0.7122601</v>
      </c>
      <c r="BH14" s="1">
        <v>720.262163</v>
      </c>
      <c r="BI14" s="1">
        <f t="shared" si="2"/>
        <v>6.579615261014</v>
      </c>
      <c r="BJ14" s="1">
        <v>4.181966667</v>
      </c>
      <c r="BK14" s="1">
        <v>16252.92</v>
      </c>
      <c r="BL14" s="1">
        <v>67.1203723192778</v>
      </c>
      <c r="BM14" s="1">
        <v>205682</v>
      </c>
      <c r="BN14" s="1">
        <v>3150000</v>
      </c>
      <c r="BO14" s="1">
        <v>0.0653</v>
      </c>
      <c r="BP14" s="1">
        <v>0.355411</v>
      </c>
      <c r="BQ14" s="1">
        <v>67.120372</v>
      </c>
      <c r="BR14" s="1">
        <v>13647.8</v>
      </c>
      <c r="BS14" s="3">
        <v>2600000</v>
      </c>
    </row>
    <row r="15" spans="1:71">
      <c r="A15" s="1" t="s">
        <v>72</v>
      </c>
      <c r="B15" s="1">
        <v>2</v>
      </c>
      <c r="C15" s="1">
        <v>113.775</v>
      </c>
      <c r="D15" s="1">
        <v>24.8205</v>
      </c>
      <c r="E15" s="1">
        <v>2012</v>
      </c>
      <c r="F15" s="1">
        <v>0.269843935698119</v>
      </c>
      <c r="G15" s="1">
        <v>6.70003918953755</v>
      </c>
      <c r="H15" s="1">
        <v>4.5787235359731</v>
      </c>
      <c r="I15" s="1">
        <v>4.45620603284813</v>
      </c>
      <c r="J15" s="1">
        <v>4.68018488979353</v>
      </c>
      <c r="K15" s="1">
        <v>4.75004944730617</v>
      </c>
      <c r="L15" s="1">
        <v>0.3175846</v>
      </c>
      <c r="M15" s="1">
        <v>0</v>
      </c>
      <c r="N15" s="1">
        <v>1.3862944</v>
      </c>
      <c r="O15" s="1">
        <v>10.3641665926115</v>
      </c>
      <c r="P15" s="1">
        <v>96.39</v>
      </c>
      <c r="Q15" s="1">
        <v>85.16</v>
      </c>
      <c r="R15" s="1">
        <v>106.79</v>
      </c>
      <c r="S15" s="1">
        <v>114.59</v>
      </c>
      <c r="T15" s="1">
        <v>68.41</v>
      </c>
      <c r="U15" s="1">
        <v>0</v>
      </c>
      <c r="V15" s="1">
        <v>3</v>
      </c>
      <c r="W15" s="1">
        <v>31702</v>
      </c>
      <c r="X15" s="1">
        <v>0.141602907854152</v>
      </c>
      <c r="Y15" s="1">
        <v>8.77</v>
      </c>
      <c r="Z15" s="1">
        <v>0.4187</v>
      </c>
      <c r="AA15" s="1">
        <v>5.04584551504946</v>
      </c>
      <c r="AB15" s="1">
        <f t="shared" si="0"/>
        <v>1.61856523442113</v>
      </c>
      <c r="AC15" s="1">
        <v>1.73362560067779</v>
      </c>
      <c r="AD15" s="1">
        <v>0.0102964777947933</v>
      </c>
      <c r="AE15" s="1">
        <v>0.84666455896301</v>
      </c>
      <c r="AF15" s="1">
        <v>0</v>
      </c>
      <c r="AG15" s="1">
        <v>0.359808</v>
      </c>
      <c r="AH15" s="2">
        <v>4.24003</v>
      </c>
      <c r="AI15" s="1">
        <v>67.1203723192778</v>
      </c>
      <c r="AJ15" s="1">
        <v>0.215975861521359</v>
      </c>
      <c r="AK15" s="1">
        <v>0.334405956211748</v>
      </c>
      <c r="AL15" s="1">
        <v>0.200841021778698</v>
      </c>
      <c r="AM15" s="1">
        <v>0.271603396603397</v>
      </c>
      <c r="AN15" s="1">
        <v>969</v>
      </c>
      <c r="AO15" s="1">
        <v>0.04402162</v>
      </c>
      <c r="AP15" s="1">
        <v>0.05350368</v>
      </c>
      <c r="AQ15" s="1">
        <v>0.05009496</v>
      </c>
      <c r="AR15" s="1">
        <v>0.02949767</v>
      </c>
      <c r="AS15" s="1">
        <v>0.05306987</v>
      </c>
      <c r="AT15" s="1">
        <v>0.03328139</v>
      </c>
      <c r="AU15" s="1">
        <v>0.06866957</v>
      </c>
      <c r="AV15" s="1">
        <v>0.02914562</v>
      </c>
      <c r="AW15" s="1">
        <v>0</v>
      </c>
      <c r="AX15" s="1">
        <v>0.03937238</v>
      </c>
      <c r="AY15" s="1">
        <v>0.03886711</v>
      </c>
      <c r="AZ15" s="1">
        <v>305</v>
      </c>
      <c r="BA15" s="1">
        <v>33.618</v>
      </c>
      <c r="BB15" s="1">
        <f t="shared" si="1"/>
        <v>5.72031177660741</v>
      </c>
      <c r="BC15" s="1">
        <v>0.000182</v>
      </c>
      <c r="BD15" s="1">
        <v>326.5</v>
      </c>
      <c r="BE15" s="1">
        <v>1.06376135349274</v>
      </c>
      <c r="BF15" s="1">
        <v>-12.198543</v>
      </c>
      <c r="BG15" s="1">
        <v>0.5663913</v>
      </c>
      <c r="BH15" s="1">
        <v>818.551219</v>
      </c>
      <c r="BI15" s="1">
        <f t="shared" si="2"/>
        <v>6.70753597151798</v>
      </c>
      <c r="BJ15" s="1">
        <v>4.181966667</v>
      </c>
      <c r="BK15" s="1">
        <v>18236.12</v>
      </c>
      <c r="BL15" s="1">
        <v>67.1203723192778</v>
      </c>
      <c r="BM15" s="1">
        <v>205682</v>
      </c>
      <c r="BN15" s="1">
        <v>3150000</v>
      </c>
      <c r="BO15" s="1">
        <v>0.0653</v>
      </c>
      <c r="BP15" s="1">
        <v>0.355411</v>
      </c>
      <c r="BQ15" s="1">
        <v>67.120372</v>
      </c>
      <c r="BR15" s="1">
        <v>13647.8</v>
      </c>
      <c r="BS15" s="3">
        <v>2600000</v>
      </c>
    </row>
    <row r="16" spans="1:71">
      <c r="A16" s="1" t="s">
        <v>72</v>
      </c>
      <c r="B16" s="1">
        <v>2</v>
      </c>
      <c r="C16" s="1">
        <v>113.775</v>
      </c>
      <c r="D16" s="1">
        <v>24.8205</v>
      </c>
      <c r="E16" s="1">
        <v>2013</v>
      </c>
      <c r="F16" s="1">
        <v>0.289633407867942</v>
      </c>
      <c r="G16" s="1">
        <v>6.7877996441905</v>
      </c>
      <c r="H16" s="1">
        <v>4.90156419904189</v>
      </c>
      <c r="I16" s="1">
        <v>4.74432324738066</v>
      </c>
      <c r="J16" s="1">
        <v>4.99145247467948</v>
      </c>
      <c r="K16" s="1">
        <v>5.17116558088755</v>
      </c>
      <c r="L16" s="1">
        <v>0.3175846</v>
      </c>
      <c r="M16" s="1">
        <v>2.95751106073379</v>
      </c>
      <c r="N16" s="1">
        <v>1.3862944</v>
      </c>
      <c r="O16" s="1">
        <v>10.4649302420986</v>
      </c>
      <c r="P16" s="1">
        <v>133.5</v>
      </c>
      <c r="Q16" s="1">
        <v>113.93</v>
      </c>
      <c r="R16" s="1">
        <v>146.15</v>
      </c>
      <c r="S16" s="1">
        <v>175.12</v>
      </c>
      <c r="T16" s="1">
        <v>84.98</v>
      </c>
      <c r="U16" s="1">
        <v>18.25</v>
      </c>
      <c r="V16" s="1">
        <v>3</v>
      </c>
      <c r="W16" s="1">
        <v>35063</v>
      </c>
      <c r="X16" s="1">
        <v>0.14203834227146</v>
      </c>
      <c r="Y16" s="1">
        <v>8.41</v>
      </c>
      <c r="Z16" s="1">
        <v>0.424</v>
      </c>
      <c r="AA16" s="1">
        <v>5.05694297506128</v>
      </c>
      <c r="AB16" s="1">
        <f t="shared" si="0"/>
        <v>1.6207621455979</v>
      </c>
      <c r="AC16" s="1">
        <v>1.81882005243776</v>
      </c>
      <c r="AD16" s="1">
        <v>0.0111621951219512</v>
      </c>
      <c r="AE16" s="1">
        <v>1.1900406504065</v>
      </c>
      <c r="AF16" s="1">
        <v>1</v>
      </c>
      <c r="AG16" s="1">
        <v>0.393228</v>
      </c>
      <c r="AH16" s="2">
        <v>4.45411</v>
      </c>
      <c r="AI16" s="1">
        <v>67.1203723192778</v>
      </c>
      <c r="AJ16" s="1">
        <v>0.215975861521359</v>
      </c>
      <c r="AK16" s="1">
        <v>0.334405956211748</v>
      </c>
      <c r="AL16" s="1">
        <v>0.200841021778698</v>
      </c>
      <c r="AM16" s="1">
        <v>0.271603396603397</v>
      </c>
      <c r="AN16" s="1">
        <v>969</v>
      </c>
      <c r="AO16" s="1">
        <v>0.04402162</v>
      </c>
      <c r="AP16" s="1">
        <v>0.05350368</v>
      </c>
      <c r="AQ16" s="1">
        <v>0.05009496</v>
      </c>
      <c r="AR16" s="1">
        <v>0.02949767</v>
      </c>
      <c r="AS16" s="1">
        <v>0.05306987</v>
      </c>
      <c r="AT16" s="1">
        <v>0.03328139</v>
      </c>
      <c r="AU16" s="1">
        <v>0.06866957</v>
      </c>
      <c r="AV16" s="1">
        <v>0.02914562</v>
      </c>
      <c r="AW16" s="1">
        <v>0</v>
      </c>
      <c r="AX16" s="1">
        <v>0.03937238</v>
      </c>
      <c r="AY16" s="1">
        <v>0.03886711</v>
      </c>
      <c r="AZ16" s="1">
        <v>408</v>
      </c>
      <c r="BA16" s="1">
        <v>37</v>
      </c>
      <c r="BB16" s="1">
        <f t="shared" si="1"/>
        <v>6.01126717440416</v>
      </c>
      <c r="BC16" s="1">
        <v>0</v>
      </c>
      <c r="BD16" s="1">
        <v>328</v>
      </c>
      <c r="BE16" s="1">
        <v>1.05188310146332</v>
      </c>
      <c r="BF16" s="1">
        <v>-35.538325</v>
      </c>
      <c r="BG16" s="1">
        <v>0.232617</v>
      </c>
      <c r="BH16" s="1">
        <v>898.411036387519</v>
      </c>
      <c r="BI16" s="1">
        <f t="shared" si="2"/>
        <v>6.80062768784068</v>
      </c>
      <c r="BJ16" s="1">
        <v>4.181966667</v>
      </c>
      <c r="BK16" s="1">
        <v>20045.16</v>
      </c>
      <c r="BL16" s="1">
        <v>67.1203723192778</v>
      </c>
      <c r="BM16" s="1">
        <v>205682</v>
      </c>
      <c r="BN16" s="1">
        <v>3150000</v>
      </c>
      <c r="BO16" s="1">
        <v>0.0653</v>
      </c>
      <c r="BP16" s="1">
        <v>0.355411</v>
      </c>
      <c r="BQ16" s="1">
        <v>67.120372</v>
      </c>
      <c r="BR16" s="1">
        <v>13647.8</v>
      </c>
      <c r="BS16" s="3">
        <v>2600000</v>
      </c>
    </row>
    <row r="17" spans="1:71">
      <c r="A17" s="1" t="s">
        <v>72</v>
      </c>
      <c r="B17" s="1">
        <v>2</v>
      </c>
      <c r="C17" s="1">
        <v>113.775</v>
      </c>
      <c r="D17" s="1">
        <v>24.8205</v>
      </c>
      <c r="E17" s="1">
        <v>2014</v>
      </c>
      <c r="F17" s="1">
        <v>0.275814526580532</v>
      </c>
      <c r="G17" s="1">
        <v>6.72660413962239</v>
      </c>
      <c r="H17" s="1">
        <v>4.97528441679333</v>
      </c>
      <c r="I17" s="1">
        <v>4.98941165764462</v>
      </c>
      <c r="J17" s="1">
        <v>4.90608926147186</v>
      </c>
      <c r="K17" s="1">
        <v>5.04735287703141</v>
      </c>
      <c r="L17" s="1">
        <v>0.3175846</v>
      </c>
      <c r="M17" s="1">
        <v>3.46354600672669</v>
      </c>
      <c r="N17" s="1">
        <v>1.0986123</v>
      </c>
      <c r="O17" s="1">
        <v>10.5554741395909</v>
      </c>
      <c r="P17" s="1">
        <v>143.79</v>
      </c>
      <c r="Q17" s="1">
        <v>145.85</v>
      </c>
      <c r="R17" s="1">
        <v>134.11</v>
      </c>
      <c r="S17" s="1">
        <v>154.61</v>
      </c>
      <c r="T17" s="1">
        <v>128.38</v>
      </c>
      <c r="U17" s="1">
        <v>30.93</v>
      </c>
      <c r="V17" s="1">
        <v>2</v>
      </c>
      <c r="W17" s="1">
        <v>38386</v>
      </c>
      <c r="X17" s="1">
        <v>0.129745250450004</v>
      </c>
      <c r="Y17" s="1">
        <v>7.43</v>
      </c>
      <c r="Z17" s="1">
        <v>0.405599999982038</v>
      </c>
      <c r="AA17" s="1">
        <v>5.06252765587508</v>
      </c>
      <c r="AB17" s="1">
        <f t="shared" si="0"/>
        <v>1.62186589530664</v>
      </c>
      <c r="AC17" s="1">
        <v>1.85485047594064</v>
      </c>
      <c r="AD17" s="1">
        <v>0.0111722880583409</v>
      </c>
      <c r="AE17" s="1">
        <v>0.925525402978984</v>
      </c>
      <c r="AF17" s="1">
        <v>2</v>
      </c>
      <c r="AG17" s="1">
        <v>0.346664</v>
      </c>
      <c r="AH17" s="2">
        <v>4.86275</v>
      </c>
      <c r="AI17" s="1">
        <v>67.1203723192778</v>
      </c>
      <c r="AJ17" s="1">
        <v>0.215975861521359</v>
      </c>
      <c r="AK17" s="1">
        <v>0.334405956211748</v>
      </c>
      <c r="AL17" s="1">
        <v>0.200841021778698</v>
      </c>
      <c r="AM17" s="1">
        <v>0.271603396603397</v>
      </c>
      <c r="AN17" s="1">
        <v>969</v>
      </c>
      <c r="AO17" s="1">
        <v>0.04402162</v>
      </c>
      <c r="AP17" s="1">
        <v>0.05350368</v>
      </c>
      <c r="AQ17" s="1">
        <v>0.05009496</v>
      </c>
      <c r="AR17" s="1">
        <v>0.02949767</v>
      </c>
      <c r="AS17" s="1">
        <v>0.05306987</v>
      </c>
      <c r="AT17" s="1">
        <v>0.03328139</v>
      </c>
      <c r="AU17" s="1">
        <v>0.06866957</v>
      </c>
      <c r="AV17" s="1">
        <v>0.02914562</v>
      </c>
      <c r="AW17" s="1">
        <v>0</v>
      </c>
      <c r="AX17" s="1">
        <v>0.03937238</v>
      </c>
      <c r="AY17" s="1">
        <v>0.03886711</v>
      </c>
      <c r="AZ17" s="1">
        <v>447</v>
      </c>
      <c r="BA17" s="1">
        <v>36.768</v>
      </c>
      <c r="BB17" s="1">
        <f t="shared" si="1"/>
        <v>6.10255859461357</v>
      </c>
      <c r="BC17" s="1">
        <v>0.00138</v>
      </c>
      <c r="BD17" s="1">
        <v>283.39</v>
      </c>
      <c r="BE17" s="1">
        <v>1.15435206890106</v>
      </c>
      <c r="BF17" s="1">
        <v>-25.177571</v>
      </c>
      <c r="BG17" s="1">
        <v>0.5660352</v>
      </c>
      <c r="BH17" s="1">
        <v>961.900526876575</v>
      </c>
      <c r="BI17" s="1">
        <f t="shared" si="2"/>
        <v>6.8689110429041</v>
      </c>
      <c r="BJ17" s="1">
        <v>4.181966667</v>
      </c>
      <c r="BK17" s="1">
        <v>21949.45</v>
      </c>
      <c r="BL17" s="1">
        <v>67.1203723192778</v>
      </c>
      <c r="BM17" s="1">
        <v>205682</v>
      </c>
      <c r="BN17" s="1">
        <v>3150000</v>
      </c>
      <c r="BO17" s="1">
        <v>0.0653</v>
      </c>
      <c r="BP17" s="1">
        <v>0.355411</v>
      </c>
      <c r="BQ17" s="1">
        <v>67.120372</v>
      </c>
      <c r="BR17" s="1">
        <v>13647.8</v>
      </c>
      <c r="BS17" s="3">
        <v>2600000</v>
      </c>
    </row>
    <row r="18" spans="1:71">
      <c r="A18" s="1" t="s">
        <v>72</v>
      </c>
      <c r="B18" s="1">
        <v>2</v>
      </c>
      <c r="C18" s="1">
        <v>113.775</v>
      </c>
      <c r="D18" s="1">
        <v>24.8205</v>
      </c>
      <c r="E18" s="1">
        <v>2015</v>
      </c>
      <c r="F18" s="1">
        <v>0.290088055002356</v>
      </c>
      <c r="G18" s="1">
        <v>6.63124724128969</v>
      </c>
      <c r="H18" s="1">
        <v>5.15571639794901</v>
      </c>
      <c r="I18" s="1">
        <v>5.10242412972398</v>
      </c>
      <c r="J18" s="1">
        <v>5.03760174232606</v>
      </c>
      <c r="K18" s="1">
        <v>5.47327856893569</v>
      </c>
      <c r="L18" s="1">
        <v>0.3175846</v>
      </c>
      <c r="M18" s="1">
        <v>4.6225188243227</v>
      </c>
      <c r="N18" s="1">
        <v>2.1972246</v>
      </c>
      <c r="O18" s="1">
        <v>10.5810387454715</v>
      </c>
      <c r="P18" s="1">
        <v>172.42</v>
      </c>
      <c r="Q18" s="1">
        <v>163.42</v>
      </c>
      <c r="R18" s="1">
        <v>153.1</v>
      </c>
      <c r="S18" s="1">
        <v>237.24</v>
      </c>
      <c r="T18" s="1">
        <v>143.56</v>
      </c>
      <c r="U18" s="1">
        <v>100.75</v>
      </c>
      <c r="V18" s="1">
        <v>8</v>
      </c>
      <c r="W18" s="1">
        <v>39380</v>
      </c>
      <c r="X18" s="1">
        <v>0.129567403137062</v>
      </c>
      <c r="Y18" s="1">
        <v>5.99</v>
      </c>
      <c r="Z18" s="1">
        <v>0.374800000017392</v>
      </c>
      <c r="AA18" s="1">
        <v>5.0366887645017</v>
      </c>
      <c r="AB18" s="1">
        <f t="shared" si="0"/>
        <v>1.61674887499971</v>
      </c>
      <c r="AC18" s="1">
        <v>1.96938478788251</v>
      </c>
      <c r="AD18" s="1">
        <v>0.0116619726840495</v>
      </c>
      <c r="AE18" s="1">
        <v>0.833072590738423</v>
      </c>
      <c r="AF18" s="1">
        <v>2</v>
      </c>
      <c r="AG18" s="1">
        <v>0.36554</v>
      </c>
      <c r="AH18" s="2">
        <v>4.97369</v>
      </c>
      <c r="AI18" s="1">
        <v>67.1203723192778</v>
      </c>
      <c r="AJ18" s="1">
        <v>0.215975861521359</v>
      </c>
      <c r="AK18" s="1">
        <v>0.334405956211748</v>
      </c>
      <c r="AL18" s="1">
        <v>0.200841021778698</v>
      </c>
      <c r="AM18" s="1">
        <v>0.271603396603397</v>
      </c>
      <c r="AN18" s="1">
        <v>969</v>
      </c>
      <c r="AO18" s="1">
        <v>0.04402162</v>
      </c>
      <c r="AP18" s="1">
        <v>0.05350368</v>
      </c>
      <c r="AQ18" s="1">
        <v>0.05009496</v>
      </c>
      <c r="AR18" s="1">
        <v>0.02949767</v>
      </c>
      <c r="AS18" s="1">
        <v>0.05306987</v>
      </c>
      <c r="AT18" s="1">
        <v>0.03328139</v>
      </c>
      <c r="AU18" s="1">
        <v>0.06866957</v>
      </c>
      <c r="AV18" s="1">
        <v>0.02914562</v>
      </c>
      <c r="AW18" s="1">
        <v>0</v>
      </c>
      <c r="AX18" s="1">
        <v>0.03937238</v>
      </c>
      <c r="AY18" s="1">
        <v>0.03886711</v>
      </c>
      <c r="AZ18" s="1">
        <v>500</v>
      </c>
      <c r="BA18" s="1">
        <v>38.509</v>
      </c>
      <c r="BB18" s="1">
        <f t="shared" si="1"/>
        <v>6.21460809842219</v>
      </c>
      <c r="BC18" s="1">
        <v>0.000591</v>
      </c>
      <c r="BD18" s="1">
        <v>283.47</v>
      </c>
      <c r="BE18" s="1">
        <v>1.42431175708771</v>
      </c>
      <c r="BF18" s="1">
        <v>-12.181439</v>
      </c>
      <c r="BG18" s="1">
        <v>0.5918656</v>
      </c>
      <c r="BH18" s="1">
        <v>987.861880143299</v>
      </c>
      <c r="BI18" s="1">
        <f t="shared" si="2"/>
        <v>6.89554289054949</v>
      </c>
      <c r="BJ18" s="1">
        <v>4.181966667</v>
      </c>
      <c r="BK18" s="1">
        <v>23057.26</v>
      </c>
      <c r="BL18" s="1">
        <v>67.1203723192778</v>
      </c>
      <c r="BM18" s="1">
        <v>205682</v>
      </c>
      <c r="BN18" s="1">
        <v>3150000</v>
      </c>
      <c r="BO18" s="1">
        <v>0.0653</v>
      </c>
      <c r="BP18" s="1">
        <v>0.355411</v>
      </c>
      <c r="BQ18" s="1">
        <v>67.120372</v>
      </c>
      <c r="BR18" s="1">
        <v>13647.8</v>
      </c>
      <c r="BS18" s="3">
        <v>2600000</v>
      </c>
    </row>
    <row r="19" spans="1:71">
      <c r="A19" s="1" t="s">
        <v>72</v>
      </c>
      <c r="B19" s="1">
        <v>2</v>
      </c>
      <c r="C19" s="1">
        <v>113.775</v>
      </c>
      <c r="D19" s="1">
        <v>24.8205</v>
      </c>
      <c r="E19" s="1">
        <v>2016</v>
      </c>
      <c r="F19" s="1">
        <v>0.291842816453909</v>
      </c>
      <c r="G19" s="1">
        <v>6.6093657552952</v>
      </c>
      <c r="H19" s="1">
        <v>5.27885406029595</v>
      </c>
      <c r="I19" s="1">
        <v>5.15626895947858</v>
      </c>
      <c r="J19" s="1">
        <v>5.30553984702982</v>
      </c>
      <c r="K19" s="1">
        <v>5.56543311328522</v>
      </c>
      <c r="L19" s="1">
        <v>0.3175846</v>
      </c>
      <c r="M19" s="1">
        <v>5.17048399503815</v>
      </c>
      <c r="N19" s="1">
        <v>2.3025851</v>
      </c>
      <c r="O19" s="1">
        <v>10.6307704240256</v>
      </c>
      <c r="P19" s="1">
        <v>195.14497616676</v>
      </c>
      <c r="Q19" s="1">
        <v>172.515851697071</v>
      </c>
      <c r="R19" s="1">
        <v>200.449725065555</v>
      </c>
      <c r="S19" s="1">
        <v>260.238325033877</v>
      </c>
      <c r="T19" s="1">
        <v>138.76</v>
      </c>
      <c r="U19" s="1">
        <v>175</v>
      </c>
      <c r="V19" s="1">
        <v>9</v>
      </c>
      <c r="W19" s="1">
        <v>41388</v>
      </c>
      <c r="X19" s="1">
        <v>0.12803761022725</v>
      </c>
      <c r="Y19" s="1">
        <v>8.87</v>
      </c>
      <c r="Z19" s="1">
        <v>0.3664</v>
      </c>
      <c r="AA19" s="1">
        <v>5.0383263224324</v>
      </c>
      <c r="AB19" s="1">
        <f t="shared" si="0"/>
        <v>1.61707394805042</v>
      </c>
      <c r="AC19" s="1">
        <v>2.00445127676478</v>
      </c>
      <c r="AD19" s="1">
        <v>0.0116898203592814</v>
      </c>
      <c r="AE19" s="1">
        <v>1.12948636651871</v>
      </c>
      <c r="AF19" s="1">
        <v>3</v>
      </c>
      <c r="AG19" s="1">
        <v>0.423</v>
      </c>
      <c r="AH19" s="2">
        <v>4.93993</v>
      </c>
      <c r="AI19" s="1">
        <v>67.1203723192778</v>
      </c>
      <c r="AJ19" s="1">
        <v>0.215975861521359</v>
      </c>
      <c r="AK19" s="1">
        <v>0.334405956211748</v>
      </c>
      <c r="AL19" s="1">
        <v>0.200841021778698</v>
      </c>
      <c r="AM19" s="1">
        <v>0.271603396603397</v>
      </c>
      <c r="AN19" s="1">
        <v>969</v>
      </c>
      <c r="AO19" s="1">
        <v>0.04402162</v>
      </c>
      <c r="AP19" s="1">
        <v>0.05350368</v>
      </c>
      <c r="AQ19" s="1">
        <v>0.05009496</v>
      </c>
      <c r="AR19" s="1">
        <v>0.02949767</v>
      </c>
      <c r="AS19" s="1">
        <v>0.05306987</v>
      </c>
      <c r="AT19" s="1">
        <v>0.03328139</v>
      </c>
      <c r="AU19" s="1">
        <v>0.06866957</v>
      </c>
      <c r="AV19" s="1">
        <v>0.02914562</v>
      </c>
      <c r="AW19" s="1">
        <v>0</v>
      </c>
      <c r="AX19" s="1">
        <v>0.03937238</v>
      </c>
      <c r="AY19" s="1">
        <v>0.03886711</v>
      </c>
      <c r="AZ19" s="1">
        <v>460</v>
      </c>
      <c r="BA19" s="1">
        <v>39.044</v>
      </c>
      <c r="BB19" s="1">
        <f t="shared" si="1"/>
        <v>6.13122648948314</v>
      </c>
      <c r="BC19" s="1">
        <v>0.000577</v>
      </c>
      <c r="BD19" s="1">
        <v>283.95</v>
      </c>
      <c r="BE19" s="1">
        <v>1.44661855697632</v>
      </c>
      <c r="BF19" s="1">
        <v>-33.77387</v>
      </c>
      <c r="BG19" s="1">
        <v>0.5879039</v>
      </c>
      <c r="BH19" s="1">
        <v>1040.69395828715</v>
      </c>
      <c r="BI19" s="1">
        <f t="shared" si="2"/>
        <v>6.94764303719518</v>
      </c>
      <c r="BJ19" s="1">
        <v>4.181966667</v>
      </c>
      <c r="BK19" s="1">
        <v>24461.49</v>
      </c>
      <c r="BL19" s="1">
        <v>67.1203723192778</v>
      </c>
      <c r="BM19" s="1">
        <v>205682</v>
      </c>
      <c r="BN19" s="1">
        <v>3150000</v>
      </c>
      <c r="BO19" s="1">
        <v>0.0653</v>
      </c>
      <c r="BP19" s="1">
        <v>0.355411</v>
      </c>
      <c r="BQ19" s="1">
        <v>67.120372</v>
      </c>
      <c r="BR19" s="1">
        <v>13647.8</v>
      </c>
      <c r="BS19" s="3">
        <v>2600000</v>
      </c>
    </row>
    <row r="20" spans="1:71">
      <c r="A20" s="1" t="s">
        <v>72</v>
      </c>
      <c r="B20" s="1">
        <v>2</v>
      </c>
      <c r="C20" s="1">
        <v>113.775</v>
      </c>
      <c r="D20" s="1">
        <v>24.8205</v>
      </c>
      <c r="E20" s="1">
        <v>2017</v>
      </c>
      <c r="F20" s="1">
        <v>0.25285430130266</v>
      </c>
      <c r="G20" s="1">
        <v>6.77566987492634</v>
      </c>
      <c r="H20" s="1">
        <v>5.40788085542666</v>
      </c>
      <c r="I20" s="1">
        <v>5.26830998223359</v>
      </c>
      <c r="J20" s="1">
        <v>5.53955485637692</v>
      </c>
      <c r="K20" s="1">
        <v>5.56869388966529</v>
      </c>
      <c r="L20" s="1">
        <v>0.3175846</v>
      </c>
      <c r="M20" s="1">
        <v>8.42092455243663</v>
      </c>
      <c r="N20" s="1">
        <v>2.1972246</v>
      </c>
      <c r="O20" s="1">
        <v>10.6445218872937</v>
      </c>
      <c r="P20" s="1">
        <v>222.158181781795</v>
      </c>
      <c r="Q20" s="1">
        <v>193.087673507265</v>
      </c>
      <c r="R20" s="1">
        <v>253.564656351772</v>
      </c>
      <c r="S20" s="1">
        <v>261.091555074763</v>
      </c>
      <c r="T20" s="1">
        <v>148.76</v>
      </c>
      <c r="U20" s="1">
        <v>4540.1</v>
      </c>
      <c r="V20" s="1">
        <v>8</v>
      </c>
      <c r="W20" s="1">
        <v>41961.0907</v>
      </c>
      <c r="X20" s="1">
        <v>0.133466285669407</v>
      </c>
      <c r="Y20" s="1">
        <v>9.83</v>
      </c>
      <c r="Z20" s="4">
        <v>0.35</v>
      </c>
      <c r="AA20" s="1">
        <v>5.04015595596064</v>
      </c>
      <c r="AB20" s="1">
        <f t="shared" si="0"/>
        <v>1.61743702524752</v>
      </c>
      <c r="AC20" s="1">
        <v>2.1017211449223</v>
      </c>
      <c r="AD20" s="1">
        <v>0.0115814925373134</v>
      </c>
      <c r="AE20" s="1">
        <v>0.818785999113868</v>
      </c>
      <c r="AF20" s="1">
        <v>13</v>
      </c>
      <c r="AG20" s="1">
        <v>0.431198</v>
      </c>
      <c r="AH20" s="2">
        <v>5.00903</v>
      </c>
      <c r="AI20" s="1">
        <v>67.1203723192778</v>
      </c>
      <c r="AJ20" s="1">
        <v>0.215975861521359</v>
      </c>
      <c r="AK20" s="1">
        <v>0.334405956211748</v>
      </c>
      <c r="AL20" s="1">
        <v>0.200841021778698</v>
      </c>
      <c r="AM20" s="1">
        <v>0.271603396603397</v>
      </c>
      <c r="AN20" s="1">
        <v>969</v>
      </c>
      <c r="AO20" s="1">
        <v>0.04402162</v>
      </c>
      <c r="AP20" s="1">
        <v>0.05350368</v>
      </c>
      <c r="AQ20" s="1">
        <v>0.05009496</v>
      </c>
      <c r="AR20" s="1">
        <v>0.02949767</v>
      </c>
      <c r="AS20" s="1">
        <v>0.05306987</v>
      </c>
      <c r="AT20" s="1">
        <v>0.03328139</v>
      </c>
      <c r="AU20" s="1">
        <v>0.06866957</v>
      </c>
      <c r="AV20" s="1">
        <v>0.02914562</v>
      </c>
      <c r="AW20" s="1">
        <v>0</v>
      </c>
      <c r="AX20" s="1">
        <v>0.03937238</v>
      </c>
      <c r="AY20" s="1">
        <v>0.03886711</v>
      </c>
      <c r="AZ20" s="1">
        <v>1058</v>
      </c>
      <c r="BA20" s="1">
        <v>38.798</v>
      </c>
      <c r="BB20" s="1">
        <f t="shared" si="1"/>
        <v>6.96413561241824</v>
      </c>
      <c r="BC20" s="1">
        <v>0.000709</v>
      </c>
      <c r="BD20" s="1">
        <v>284.47</v>
      </c>
      <c r="BE20" s="1">
        <v>1.48125982284546</v>
      </c>
      <c r="BF20" s="1">
        <v>54.98022</v>
      </c>
      <c r="BG20" s="1">
        <v>0.5648865</v>
      </c>
      <c r="BH20" s="1">
        <v>1133.6245421524</v>
      </c>
      <c r="BI20" s="1">
        <f t="shared" si="2"/>
        <v>7.03317533788841</v>
      </c>
      <c r="BJ20" s="1">
        <v>4.181966667</v>
      </c>
      <c r="BK20" s="1">
        <v>25989.4</v>
      </c>
      <c r="BL20" s="1">
        <v>67.1203723192778</v>
      </c>
      <c r="BM20" s="1">
        <v>205682</v>
      </c>
      <c r="BN20" s="1">
        <v>3150000</v>
      </c>
      <c r="BO20" s="1">
        <v>0.0653</v>
      </c>
      <c r="BP20" s="1">
        <v>0.355411</v>
      </c>
      <c r="BQ20" s="1">
        <v>67.120372</v>
      </c>
      <c r="BR20" s="1">
        <v>13647.8</v>
      </c>
      <c r="BS20" s="3">
        <v>2600000</v>
      </c>
    </row>
    <row r="21" spans="1:71">
      <c r="A21" s="1" t="s">
        <v>72</v>
      </c>
      <c r="B21" s="1">
        <v>2</v>
      </c>
      <c r="C21" s="1">
        <v>113.775</v>
      </c>
      <c r="D21" s="1">
        <v>24.8205</v>
      </c>
      <c r="E21" s="1">
        <v>2018</v>
      </c>
      <c r="F21" s="1">
        <v>0.26473795968183</v>
      </c>
      <c r="G21" s="1">
        <v>6.82658934590206</v>
      </c>
      <c r="H21" s="1">
        <v>5.45736398411727</v>
      </c>
      <c r="I21" s="1">
        <v>5.36051136988787</v>
      </c>
      <c r="J21" s="1">
        <v>5.50962654550095</v>
      </c>
      <c r="K21" s="1">
        <v>5.64581079785461</v>
      </c>
      <c r="L21" s="1">
        <v>0.3175846</v>
      </c>
      <c r="M21" s="1">
        <v>3.43398720448514</v>
      </c>
      <c r="N21" s="1">
        <v>2.3025851</v>
      </c>
      <c r="O21" s="1">
        <v>10.7137953528696</v>
      </c>
      <c r="P21" s="1">
        <v>233.478519916251</v>
      </c>
      <c r="Q21" s="1">
        <v>211.833755400767</v>
      </c>
      <c r="R21" s="1">
        <v>246.058844622189</v>
      </c>
      <c r="S21" s="1">
        <v>282.103002480958</v>
      </c>
      <c r="T21" s="1">
        <v>158.16</v>
      </c>
      <c r="U21" s="1">
        <v>30</v>
      </c>
      <c r="V21" s="1">
        <v>9</v>
      </c>
      <c r="W21" s="1">
        <v>44971</v>
      </c>
      <c r="X21" s="1">
        <v>0.116079115358085</v>
      </c>
      <c r="Y21" s="1">
        <v>8.81</v>
      </c>
      <c r="Z21" s="1">
        <v>0.3351</v>
      </c>
      <c r="AA21" s="1">
        <v>5.04124510846181</v>
      </c>
      <c r="AB21" s="1">
        <f t="shared" si="0"/>
        <v>1.61765309690233</v>
      </c>
      <c r="AC21" s="1">
        <v>2.08800218169209</v>
      </c>
      <c r="AD21" s="1">
        <v>0.0107608308605341</v>
      </c>
      <c r="AE21" s="1">
        <v>0.850377833753149</v>
      </c>
      <c r="AF21" s="1">
        <v>2</v>
      </c>
      <c r="AG21" s="1">
        <v>0.424992</v>
      </c>
      <c r="AH21" s="2">
        <v>5.06991</v>
      </c>
      <c r="AI21" s="1">
        <v>67.1203723192778</v>
      </c>
      <c r="AJ21" s="1">
        <v>0.215975861521359</v>
      </c>
      <c r="AK21" s="1">
        <v>0.334405956211748</v>
      </c>
      <c r="AL21" s="1">
        <v>0.200841021778698</v>
      </c>
      <c r="AM21" s="1">
        <v>0.271603396603397</v>
      </c>
      <c r="AN21" s="1">
        <v>969</v>
      </c>
      <c r="AO21" s="1">
        <v>0.04402162</v>
      </c>
      <c r="AP21" s="1">
        <v>0.05350368</v>
      </c>
      <c r="AQ21" s="1">
        <v>0.05009496</v>
      </c>
      <c r="AR21" s="1">
        <v>0.02949767</v>
      </c>
      <c r="AS21" s="1">
        <v>0.05306987</v>
      </c>
      <c r="AT21" s="1">
        <v>0.03328139</v>
      </c>
      <c r="AU21" s="1">
        <v>0.06866957</v>
      </c>
      <c r="AV21" s="1">
        <v>0.02914562</v>
      </c>
      <c r="AW21" s="1">
        <v>0</v>
      </c>
      <c r="AX21" s="1">
        <v>0.03937238</v>
      </c>
      <c r="AY21" s="1">
        <v>0.03886711</v>
      </c>
      <c r="AZ21" s="1">
        <v>1508</v>
      </c>
      <c r="BA21" s="1">
        <v>36.264</v>
      </c>
      <c r="BB21" s="1">
        <f t="shared" si="1"/>
        <v>7.3185395485679</v>
      </c>
      <c r="BC21" s="1">
        <v>0.000793</v>
      </c>
      <c r="BD21" s="1">
        <v>284.78</v>
      </c>
      <c r="BE21" s="1">
        <v>1.51289057731628</v>
      </c>
      <c r="BF21" s="1">
        <v>-98.65946</v>
      </c>
      <c r="BG21" s="1">
        <v>0.4872681</v>
      </c>
      <c r="BH21" s="1">
        <v>1217.4773</v>
      </c>
      <c r="BI21" s="1">
        <f t="shared" si="2"/>
        <v>7.10453621001907</v>
      </c>
      <c r="BJ21" s="1">
        <v>4.181966667</v>
      </c>
      <c r="BK21" s="1">
        <v>27436.98</v>
      </c>
      <c r="BL21" s="1">
        <v>67.1203723192778</v>
      </c>
      <c r="BM21" s="1">
        <v>205682</v>
      </c>
      <c r="BN21" s="1">
        <v>3150000</v>
      </c>
      <c r="BO21" s="1">
        <v>0.0653</v>
      </c>
      <c r="BP21" s="1">
        <v>0.355411</v>
      </c>
      <c r="BQ21" s="1">
        <v>67.120372</v>
      </c>
      <c r="BR21" s="1">
        <v>13647.8</v>
      </c>
      <c r="BS21" s="3">
        <v>2600000</v>
      </c>
    </row>
    <row r="22" spans="1:71">
      <c r="A22" s="1" t="s">
        <v>72</v>
      </c>
      <c r="B22" s="1">
        <v>2</v>
      </c>
      <c r="C22" s="1">
        <v>113.775</v>
      </c>
      <c r="D22" s="1">
        <v>24.8205</v>
      </c>
      <c r="E22" s="1">
        <v>2019</v>
      </c>
      <c r="F22" s="1">
        <v>0.240571954881294</v>
      </c>
      <c r="G22" s="1">
        <v>6.82028516304242</v>
      </c>
      <c r="H22" s="1">
        <v>5.50402040441724</v>
      </c>
      <c r="I22" s="1">
        <v>5.42887727850601</v>
      </c>
      <c r="J22" s="1">
        <v>5.54437186422753</v>
      </c>
      <c r="K22" s="1">
        <v>5.65611008424485</v>
      </c>
      <c r="L22" s="1">
        <v>0.3175846</v>
      </c>
      <c r="M22" s="1">
        <v>4.11087386417331</v>
      </c>
      <c r="N22" s="1">
        <v>2.0794415</v>
      </c>
      <c r="O22" s="1">
        <v>10.6861084456311</v>
      </c>
      <c r="P22" s="1">
        <v>244.677673049155</v>
      </c>
      <c r="Q22" s="1">
        <v>226.893241066922</v>
      </c>
      <c r="R22" s="1">
        <v>254.793854523143</v>
      </c>
      <c r="S22" s="1">
        <v>285.033828159591</v>
      </c>
      <c r="T22" s="1">
        <v>169.98</v>
      </c>
      <c r="U22" s="1">
        <v>60</v>
      </c>
      <c r="V22" s="1">
        <v>7</v>
      </c>
      <c r="W22" s="1">
        <v>43742.9434</v>
      </c>
      <c r="X22" s="1">
        <v>0.138249047213834</v>
      </c>
      <c r="Y22" s="1">
        <v>2.63</v>
      </c>
      <c r="Z22" s="1">
        <v>0.3364</v>
      </c>
      <c r="AA22" s="1">
        <v>5.04226292025451</v>
      </c>
      <c r="AB22" s="1">
        <f t="shared" si="0"/>
        <v>1.61785497343047</v>
      </c>
      <c r="AC22" s="1">
        <v>2.31698733393188</v>
      </c>
      <c r="AD22" s="1">
        <v>0.0106916913946588</v>
      </c>
      <c r="AE22" s="1">
        <v>1.02673013548151</v>
      </c>
      <c r="AF22" s="1">
        <v>1</v>
      </c>
      <c r="AG22" s="1">
        <v>0.450372</v>
      </c>
      <c r="AH22" s="2">
        <v>5.14155</v>
      </c>
      <c r="AI22" s="1">
        <v>67.1203723192778</v>
      </c>
      <c r="AJ22" s="1">
        <v>0.215975861521359</v>
      </c>
      <c r="AK22" s="1">
        <v>0.334405956211748</v>
      </c>
      <c r="AL22" s="1">
        <v>0.200841021778698</v>
      </c>
      <c r="AM22" s="1">
        <v>0.271603396603397</v>
      </c>
      <c r="AN22" s="1">
        <v>969</v>
      </c>
      <c r="AO22" s="1">
        <v>0.04402162</v>
      </c>
      <c r="AP22" s="1">
        <v>0.05350368</v>
      </c>
      <c r="AQ22" s="1">
        <v>0.05009496</v>
      </c>
      <c r="AR22" s="1">
        <v>0.02949767</v>
      </c>
      <c r="AS22" s="1">
        <v>0.05306987</v>
      </c>
      <c r="AT22" s="1">
        <v>0.03328139</v>
      </c>
      <c r="AU22" s="1">
        <v>0.06866957</v>
      </c>
      <c r="AV22" s="1">
        <v>0.02914562</v>
      </c>
      <c r="AW22" s="1">
        <v>0</v>
      </c>
      <c r="AX22" s="1">
        <v>0.03937238</v>
      </c>
      <c r="AY22" s="1">
        <v>0.03886711</v>
      </c>
      <c r="AZ22" s="1">
        <v>1558</v>
      </c>
      <c r="BA22" s="1">
        <v>36.035</v>
      </c>
      <c r="BB22" s="1">
        <f t="shared" si="1"/>
        <v>7.35115822643069</v>
      </c>
      <c r="BC22" s="1">
        <v>0.00042</v>
      </c>
      <c r="BD22" s="1">
        <v>285.07</v>
      </c>
      <c r="BE22" s="1">
        <v>1.53912842273712</v>
      </c>
      <c r="BF22" s="1">
        <v>-55.071397</v>
      </c>
      <c r="BG22" s="1">
        <v>0.4304552</v>
      </c>
      <c r="BH22" s="1">
        <v>1316.34678555207</v>
      </c>
      <c r="BI22" s="1">
        <f t="shared" si="2"/>
        <v>7.18261559202852</v>
      </c>
      <c r="BJ22" s="1">
        <v>4.181966667</v>
      </c>
      <c r="BK22" s="1">
        <v>29446.12</v>
      </c>
      <c r="BL22" s="1">
        <v>67.1203723192778</v>
      </c>
      <c r="BM22" s="1">
        <v>205682</v>
      </c>
      <c r="BN22" s="1">
        <v>3150000</v>
      </c>
      <c r="BO22" s="1">
        <v>0.0653</v>
      </c>
      <c r="BP22" s="1">
        <v>0.355411</v>
      </c>
      <c r="BQ22" s="1">
        <v>67.120372</v>
      </c>
      <c r="BR22" s="1">
        <v>13647.8</v>
      </c>
      <c r="BS22" s="3">
        <v>2600000</v>
      </c>
    </row>
    <row r="23" spans="1:71">
      <c r="A23" s="1" t="s">
        <v>72</v>
      </c>
      <c r="B23" s="1">
        <v>2</v>
      </c>
      <c r="C23" s="1">
        <v>113.775</v>
      </c>
      <c r="D23" s="1">
        <v>24.8205</v>
      </c>
      <c r="E23" s="1">
        <v>2020</v>
      </c>
      <c r="F23" s="1">
        <v>0.244067424720863</v>
      </c>
      <c r="G23" s="1">
        <v>6.98301711153997</v>
      </c>
      <c r="H23" s="1">
        <v>5.54655155269467</v>
      </c>
      <c r="I23" s="1">
        <v>5.4930022016681</v>
      </c>
      <c r="J23" s="1">
        <v>5.57120192621698</v>
      </c>
      <c r="K23" s="1">
        <v>5.66600325003227</v>
      </c>
      <c r="L23" s="1">
        <v>0.3175846</v>
      </c>
      <c r="M23" s="1">
        <v>0</v>
      </c>
      <c r="N23" s="1">
        <v>2.4849067</v>
      </c>
      <c r="O23" s="1">
        <v>10.767259236989</v>
      </c>
      <c r="P23" s="1">
        <v>255.352013547748</v>
      </c>
      <c r="Q23" s="1">
        <v>241.985604692491</v>
      </c>
      <c r="R23" s="1">
        <v>261.749715311665</v>
      </c>
      <c r="S23" s="1">
        <v>287.877652311107</v>
      </c>
      <c r="T23" s="1">
        <v>52.17</v>
      </c>
      <c r="U23" s="1">
        <v>0</v>
      </c>
      <c r="V23" s="1">
        <v>11</v>
      </c>
      <c r="W23" s="1">
        <v>47440.8124</v>
      </c>
      <c r="X23" s="1">
        <v>0.137782174981588</v>
      </c>
      <c r="Y23" s="1">
        <v>14.65</v>
      </c>
      <c r="Z23" s="1">
        <v>0.3437</v>
      </c>
      <c r="AA23" s="1">
        <v>5.04387525849374</v>
      </c>
      <c r="AB23" s="1">
        <f t="shared" si="0"/>
        <v>1.61817468712552</v>
      </c>
      <c r="AC23" s="1">
        <v>2.51707826543362</v>
      </c>
      <c r="AD23" s="1">
        <v>0.0131062314540059</v>
      </c>
      <c r="AE23" s="1">
        <v>0.89126213592233</v>
      </c>
      <c r="AF23" s="1">
        <v>0</v>
      </c>
      <c r="AG23" s="1">
        <v>0.43176</v>
      </c>
      <c r="AH23" s="2">
        <v>3.97349</v>
      </c>
      <c r="AI23" s="1">
        <v>67.1203723192778</v>
      </c>
      <c r="AJ23" s="1">
        <v>0.215975861521359</v>
      </c>
      <c r="AK23" s="1">
        <v>0.334405956211748</v>
      </c>
      <c r="AL23" s="1">
        <v>0.200841021778698</v>
      </c>
      <c r="AM23" s="1">
        <v>0.271603396603397</v>
      </c>
      <c r="AN23" s="1">
        <v>969</v>
      </c>
      <c r="AO23" s="1">
        <v>0.04402162</v>
      </c>
      <c r="AP23" s="1">
        <v>0.05350368</v>
      </c>
      <c r="AQ23" s="1">
        <v>0.05009496</v>
      </c>
      <c r="AR23" s="1">
        <v>0.02949767</v>
      </c>
      <c r="AS23" s="1">
        <v>0.05306987</v>
      </c>
      <c r="AT23" s="1">
        <v>0.03328139</v>
      </c>
      <c r="AU23" s="1">
        <v>0.06866957</v>
      </c>
      <c r="AV23" s="1">
        <v>0.02914562</v>
      </c>
      <c r="AW23" s="1">
        <v>0</v>
      </c>
      <c r="AX23" s="1">
        <v>0.03937238</v>
      </c>
      <c r="AY23" s="1">
        <v>0.03886711</v>
      </c>
      <c r="AZ23" s="1">
        <v>2297</v>
      </c>
      <c r="BA23" s="1">
        <v>44.168</v>
      </c>
      <c r="BB23" s="1">
        <f t="shared" si="1"/>
        <v>7.7393592026891</v>
      </c>
      <c r="BC23" s="1">
        <v>0</v>
      </c>
      <c r="BD23" s="1">
        <v>285.53</v>
      </c>
      <c r="BE23" s="1">
        <v>1.4852100610733</v>
      </c>
      <c r="BF23" s="1">
        <v>-36.72549</v>
      </c>
      <c r="BG23" s="1">
        <v>0.2593302</v>
      </c>
      <c r="BH23" s="1">
        <v>1353.4864</v>
      </c>
      <c r="BI23" s="1">
        <f t="shared" si="2"/>
        <v>7.21043906098023</v>
      </c>
      <c r="BJ23" s="1">
        <v>4.181966667</v>
      </c>
      <c r="BK23" s="1">
        <v>30352.06</v>
      </c>
      <c r="BL23" s="1">
        <v>67.1203723192778</v>
      </c>
      <c r="BM23" s="1">
        <v>205682</v>
      </c>
      <c r="BN23" s="1">
        <v>3150000</v>
      </c>
      <c r="BO23" s="1">
        <v>0.0653</v>
      </c>
      <c r="BP23" s="1">
        <v>0.355411</v>
      </c>
      <c r="BQ23" s="1">
        <v>67.120372</v>
      </c>
      <c r="BR23" s="1">
        <v>13647.8</v>
      </c>
      <c r="BS23" s="3">
        <v>2600000</v>
      </c>
    </row>
    <row r="24" spans="1:71">
      <c r="A24" s="1" t="s">
        <v>72</v>
      </c>
      <c r="B24" s="1">
        <v>2</v>
      </c>
      <c r="C24" s="1">
        <v>113.775</v>
      </c>
      <c r="D24" s="1">
        <v>24.8205</v>
      </c>
      <c r="E24" s="1">
        <v>2021</v>
      </c>
      <c r="F24" s="1">
        <v>0.27697262012253</v>
      </c>
      <c r="G24" s="1">
        <v>7.18714119126573</v>
      </c>
      <c r="H24" s="1">
        <v>5.65469167580069</v>
      </c>
      <c r="I24" s="1">
        <v>5.64644069271123</v>
      </c>
      <c r="J24" s="1">
        <v>5.64021567040437</v>
      </c>
      <c r="K24" s="1">
        <v>5.70662850586455</v>
      </c>
      <c r="L24" s="1">
        <v>0.3175846</v>
      </c>
      <c r="M24" s="1">
        <v>4.87519732320115</v>
      </c>
      <c r="N24" s="1">
        <v>3.0910425</v>
      </c>
      <c r="O24" s="1">
        <v>10.4589467739051</v>
      </c>
      <c r="P24" s="1">
        <v>284.628403024968</v>
      </c>
      <c r="Q24" s="1">
        <v>282.281383836978</v>
      </c>
      <c r="R24" s="1">
        <v>280.523428163416</v>
      </c>
      <c r="S24" s="1">
        <v>299.855025488241</v>
      </c>
      <c r="T24" s="1">
        <v>56.63</v>
      </c>
      <c r="U24" s="1">
        <v>130</v>
      </c>
      <c r="V24" s="1">
        <v>21</v>
      </c>
      <c r="W24" s="1">
        <v>34853.8221</v>
      </c>
      <c r="X24" s="1">
        <v>0.141817843973011</v>
      </c>
      <c r="Y24" s="1">
        <v>10.33</v>
      </c>
      <c r="Z24" s="1">
        <v>0.3687</v>
      </c>
      <c r="AA24" s="1">
        <v>5.04555493135252</v>
      </c>
      <c r="AB24" s="1">
        <f t="shared" si="0"/>
        <v>1.61850764406019</v>
      </c>
      <c r="AC24" s="1">
        <v>2.39255426536329</v>
      </c>
      <c r="AD24" s="1">
        <v>0.014806528189911</v>
      </c>
      <c r="AE24" s="1">
        <v>1.11181434599156</v>
      </c>
      <c r="AF24" s="1">
        <v>4</v>
      </c>
      <c r="AG24" s="1">
        <v>0.48134</v>
      </c>
      <c r="AH24" s="2">
        <v>4.05404</v>
      </c>
      <c r="AI24" s="1">
        <v>67.1203723192778</v>
      </c>
      <c r="AJ24" s="1">
        <v>0.215975861521359</v>
      </c>
      <c r="AK24" s="1">
        <v>0.334405956211748</v>
      </c>
      <c r="AL24" s="1">
        <v>0.200841021778698</v>
      </c>
      <c r="AM24" s="1">
        <v>0.271603396603397</v>
      </c>
      <c r="AN24" s="1">
        <v>969</v>
      </c>
      <c r="AO24" s="1">
        <v>0.04402162</v>
      </c>
      <c r="AP24" s="1">
        <v>0.05350368</v>
      </c>
      <c r="AQ24" s="1">
        <v>0.05009496</v>
      </c>
      <c r="AR24" s="1">
        <v>0.02949767</v>
      </c>
      <c r="AS24" s="1">
        <v>0.05306987</v>
      </c>
      <c r="AT24" s="1">
        <v>0.03328139</v>
      </c>
      <c r="AU24" s="1">
        <v>0.06866957</v>
      </c>
      <c r="AV24" s="1">
        <v>0.02914562</v>
      </c>
      <c r="AW24" s="1">
        <v>0</v>
      </c>
      <c r="AX24" s="1">
        <v>0.03937238</v>
      </c>
      <c r="AY24" s="1">
        <v>0.03886711</v>
      </c>
      <c r="AZ24" s="1">
        <v>1716</v>
      </c>
      <c r="BA24" s="1">
        <v>47.754</v>
      </c>
      <c r="BB24" s="1">
        <f t="shared" si="1"/>
        <v>7.44775128004791</v>
      </c>
      <c r="BC24" s="1">
        <v>0</v>
      </c>
      <c r="BD24" s="1">
        <v>286.01</v>
      </c>
      <c r="BE24" s="1">
        <v>1.33638513088226</v>
      </c>
      <c r="BF24" s="1">
        <v>943.46876</v>
      </c>
      <c r="BG24" s="1">
        <v>0.1791601</v>
      </c>
      <c r="BH24" s="1">
        <v>1553.9286</v>
      </c>
      <c r="BI24" s="1">
        <f t="shared" si="2"/>
        <v>7.3485415839261</v>
      </c>
      <c r="BJ24" s="1">
        <v>4.181966667</v>
      </c>
      <c r="BK24" s="1">
        <v>35149.75</v>
      </c>
      <c r="BL24" s="1">
        <v>67.1203723192778</v>
      </c>
      <c r="BM24" s="1">
        <v>205682</v>
      </c>
      <c r="BN24" s="1">
        <v>3150000</v>
      </c>
      <c r="BO24" s="1">
        <v>0.0653</v>
      </c>
      <c r="BP24" s="1">
        <v>0.355411</v>
      </c>
      <c r="BQ24" s="1">
        <v>67.120372</v>
      </c>
      <c r="BR24" s="1">
        <v>13647.8</v>
      </c>
      <c r="BS24" s="3">
        <v>2600000</v>
      </c>
    </row>
    <row r="25" spans="1:71">
      <c r="A25" s="1" t="s">
        <v>72</v>
      </c>
      <c r="B25" s="1">
        <v>2</v>
      </c>
      <c r="C25" s="1">
        <v>113.775</v>
      </c>
      <c r="D25" s="1">
        <v>24.8205</v>
      </c>
      <c r="E25" s="1">
        <v>2022</v>
      </c>
      <c r="F25" s="1">
        <v>0.27416814953413</v>
      </c>
      <c r="G25" s="1">
        <v>7.21235533316722</v>
      </c>
      <c r="H25" s="1">
        <v>5.67349259853859</v>
      </c>
      <c r="I25" s="1">
        <v>5.70778427509438</v>
      </c>
      <c r="J25" s="1">
        <v>5.56513350554645</v>
      </c>
      <c r="K25" s="1">
        <v>5.74253265244559</v>
      </c>
      <c r="L25" s="1">
        <v>0.3175846</v>
      </c>
      <c r="M25" s="1">
        <v>0</v>
      </c>
      <c r="N25" s="1">
        <v>4.0430512</v>
      </c>
      <c r="O25" s="1">
        <v>10.9089789298685</v>
      </c>
      <c r="P25" s="1">
        <v>290.049279552705</v>
      </c>
      <c r="Q25" s="1">
        <v>300.202945496041</v>
      </c>
      <c r="R25" s="1">
        <v>260.160067665245</v>
      </c>
      <c r="S25" s="1">
        <v>310.853227510192</v>
      </c>
      <c r="T25" s="1">
        <v>54.74</v>
      </c>
      <c r="U25" s="1">
        <v>0</v>
      </c>
      <c r="V25" s="1">
        <v>56</v>
      </c>
      <c r="W25" s="1">
        <v>54664</v>
      </c>
      <c r="X25" s="1">
        <v>0.126604447614245</v>
      </c>
      <c r="Y25" s="1">
        <v>17.49</v>
      </c>
      <c r="Z25" s="1">
        <v>0.356</v>
      </c>
      <c r="AA25" s="1">
        <v>5.04614913958755</v>
      </c>
      <c r="AB25" s="1">
        <f t="shared" si="0"/>
        <v>1.61862540578439</v>
      </c>
      <c r="AC25" s="1">
        <v>2.59705538516174</v>
      </c>
      <c r="AD25" s="1">
        <v>0.013466765578635</v>
      </c>
      <c r="AE25" s="1">
        <v>1.44419084882078</v>
      </c>
      <c r="AF25" s="1">
        <v>0</v>
      </c>
      <c r="AG25" s="1">
        <v>0.478212</v>
      </c>
      <c r="AH25" s="2">
        <v>4.0207</v>
      </c>
      <c r="AI25" s="1">
        <v>67.1203723192778</v>
      </c>
      <c r="AJ25" s="1">
        <v>0.215975861521359</v>
      </c>
      <c r="AK25" s="1">
        <v>0.334405956211748</v>
      </c>
      <c r="AL25" s="1">
        <v>0.200841021778698</v>
      </c>
      <c r="AM25" s="1">
        <v>0.271603396603397</v>
      </c>
      <c r="AN25" s="1">
        <v>969</v>
      </c>
      <c r="AO25" s="1">
        <v>0.04402162</v>
      </c>
      <c r="AP25" s="1">
        <v>0.05350368</v>
      </c>
      <c r="AQ25" s="1">
        <v>0.05009496</v>
      </c>
      <c r="AR25" s="1">
        <v>0.02949767</v>
      </c>
      <c r="AS25" s="1">
        <v>0.05306987</v>
      </c>
      <c r="AT25" s="1">
        <v>0.03328139</v>
      </c>
      <c r="AU25" s="1">
        <v>0.06866957</v>
      </c>
      <c r="AV25" s="1">
        <v>0.02914562</v>
      </c>
      <c r="AW25" s="1">
        <v>0</v>
      </c>
      <c r="AX25" s="1">
        <v>0.03937238</v>
      </c>
      <c r="AY25" s="1">
        <v>0.03886711</v>
      </c>
      <c r="AZ25" s="1">
        <v>1461</v>
      </c>
      <c r="BA25" s="1">
        <v>46.56</v>
      </c>
      <c r="BB25" s="1">
        <f t="shared" si="1"/>
        <v>7.2868764117507</v>
      </c>
      <c r="BC25" s="1">
        <v>0.000126</v>
      </c>
      <c r="BD25" s="1">
        <v>286.18</v>
      </c>
      <c r="BE25" s="1">
        <v>1.40590982575894</v>
      </c>
      <c r="BF25" s="1">
        <v>13721.0278154</v>
      </c>
      <c r="BG25" s="1">
        <v>0.0541986</v>
      </c>
      <c r="BH25" s="1">
        <v>1563.93</v>
      </c>
      <c r="BI25" s="1">
        <f t="shared" si="2"/>
        <v>7.35495716307038</v>
      </c>
      <c r="BJ25" s="1">
        <v>4.181966667</v>
      </c>
      <c r="BK25" s="1">
        <v>36676.59</v>
      </c>
      <c r="BL25" s="1">
        <v>67.1203723192778</v>
      </c>
      <c r="BM25" s="1">
        <v>205682</v>
      </c>
      <c r="BN25" s="1">
        <v>3150000</v>
      </c>
      <c r="BO25" s="1">
        <v>0.0653</v>
      </c>
      <c r="BP25" s="1">
        <v>0.355411</v>
      </c>
      <c r="BQ25" s="1">
        <v>67.120372</v>
      </c>
      <c r="BR25" s="1">
        <v>13647.8</v>
      </c>
      <c r="BS25" s="3">
        <v>2600000</v>
      </c>
    </row>
    <row r="26" spans="1:71">
      <c r="A26" s="1" t="s">
        <v>73</v>
      </c>
      <c r="B26" s="1">
        <v>3</v>
      </c>
      <c r="C26" s="1">
        <v>114.127</v>
      </c>
      <c r="D26" s="1">
        <v>22.6546</v>
      </c>
      <c r="E26" s="1">
        <v>2011</v>
      </c>
      <c r="F26" s="1">
        <v>0.51279207276826</v>
      </c>
      <c r="G26" s="1">
        <v>7.82604257000494</v>
      </c>
      <c r="H26" s="1">
        <v>4.44722899791951</v>
      </c>
      <c r="I26" s="1">
        <v>4.53292202178046</v>
      </c>
      <c r="J26" s="1">
        <v>4.45991317333095</v>
      </c>
      <c r="K26" s="1">
        <v>4.06371351866857</v>
      </c>
      <c r="L26" s="1">
        <v>0.1969176</v>
      </c>
      <c r="M26" s="1">
        <v>9.48099097891373</v>
      </c>
      <c r="N26" s="1">
        <v>5.9322453</v>
      </c>
      <c r="O26" s="1">
        <v>11.6120646683347</v>
      </c>
      <c r="P26" s="1">
        <v>84.39</v>
      </c>
      <c r="Q26" s="1">
        <v>92.03</v>
      </c>
      <c r="R26" s="1">
        <v>85.48</v>
      </c>
      <c r="S26" s="1">
        <v>57.19</v>
      </c>
      <c r="T26" s="1">
        <v>216.85</v>
      </c>
      <c r="U26" s="1">
        <v>13107.17</v>
      </c>
      <c r="V26" s="1">
        <v>376</v>
      </c>
      <c r="W26" s="1">
        <v>110421</v>
      </c>
      <c r="X26" s="1">
        <v>2.32457321822416</v>
      </c>
      <c r="Y26" s="1">
        <v>9.42</v>
      </c>
      <c r="Z26" s="1">
        <v>0.464399999998262</v>
      </c>
      <c r="AA26" s="1">
        <v>8.56688178530575</v>
      </c>
      <c r="AB26" s="1">
        <f t="shared" si="0"/>
        <v>2.14790381404297</v>
      </c>
      <c r="AC26" s="1">
        <v>3.34598672718226</v>
      </c>
      <c r="AD26" s="1">
        <v>0.0261306457633445</v>
      </c>
      <c r="AE26" s="1">
        <v>0.824423638377127</v>
      </c>
      <c r="AF26" s="1">
        <v>414</v>
      </c>
      <c r="AG26" s="1">
        <v>0.441812</v>
      </c>
      <c r="AH26" s="2">
        <v>5.38381</v>
      </c>
      <c r="AI26" s="1">
        <v>121.783088235294</v>
      </c>
      <c r="AJ26" s="1">
        <v>15.1394686278407</v>
      </c>
      <c r="AK26" s="1">
        <v>14.0071458850603</v>
      </c>
      <c r="AL26" s="1">
        <v>15.1816632770846</v>
      </c>
      <c r="AM26" s="1">
        <v>11.8274653254077</v>
      </c>
      <c r="AN26" s="1">
        <v>923</v>
      </c>
      <c r="AO26" s="1">
        <v>0.07400072</v>
      </c>
      <c r="AP26" s="1">
        <v>0.03207415</v>
      </c>
      <c r="AQ26" s="1">
        <v>0.05048188</v>
      </c>
      <c r="AR26" s="1">
        <v>0</v>
      </c>
      <c r="AS26" s="1">
        <v>0</v>
      </c>
      <c r="AT26" s="1">
        <v>0</v>
      </c>
      <c r="AU26" s="1">
        <v>0.00809107</v>
      </c>
      <c r="AV26" s="1">
        <v>0.0537076</v>
      </c>
      <c r="AW26" s="1">
        <v>0.02319344</v>
      </c>
      <c r="AX26" s="1">
        <v>0.01956384</v>
      </c>
      <c r="AY26" s="1">
        <v>0.03757701</v>
      </c>
      <c r="AZ26" s="1">
        <v>26085</v>
      </c>
      <c r="BA26" s="1">
        <v>70.004</v>
      </c>
      <c r="BB26" s="1">
        <f t="shared" si="1"/>
        <v>10.1691157154565</v>
      </c>
      <c r="BC26" s="1">
        <v>0.000884</v>
      </c>
      <c r="BD26" s="1">
        <v>1122.94</v>
      </c>
      <c r="BE26" s="1">
        <v>1.15202403068542</v>
      </c>
      <c r="BF26" s="1">
        <v>4.740963</v>
      </c>
      <c r="BG26" s="1">
        <v>13.12195</v>
      </c>
      <c r="BH26" s="1">
        <v>11922.808476</v>
      </c>
      <c r="BI26" s="1">
        <f t="shared" si="2"/>
        <v>9.38620852327025</v>
      </c>
      <c r="BJ26" s="1">
        <v>16.15295</v>
      </c>
      <c r="BK26" s="1">
        <v>122752.3</v>
      </c>
      <c r="BL26" s="1">
        <v>121.783088235294</v>
      </c>
      <c r="BM26" s="1">
        <v>923568</v>
      </c>
      <c r="BN26" s="1">
        <v>6570000</v>
      </c>
      <c r="BO26" s="1">
        <v>0.1406</v>
      </c>
      <c r="BP26" s="1">
        <v>2.684283</v>
      </c>
      <c r="BQ26" s="1">
        <v>121.78309</v>
      </c>
      <c r="BR26" s="1">
        <v>103077</v>
      </c>
      <c r="BS26" s="3">
        <v>4700000</v>
      </c>
    </row>
    <row r="27" spans="1:71">
      <c r="A27" s="1" t="s">
        <v>73</v>
      </c>
      <c r="B27" s="1">
        <v>3</v>
      </c>
      <c r="C27" s="1">
        <v>114.127</v>
      </c>
      <c r="D27" s="1">
        <v>22.6546</v>
      </c>
      <c r="E27" s="1">
        <v>2012</v>
      </c>
      <c r="F27" s="1">
        <v>0.569043154926646</v>
      </c>
      <c r="G27" s="1">
        <v>7.78755662991283</v>
      </c>
      <c r="H27" s="1">
        <v>4.95469966176595</v>
      </c>
      <c r="I27" s="1">
        <v>5.07279599044786</v>
      </c>
      <c r="J27" s="1">
        <v>4.87022314037951</v>
      </c>
      <c r="K27" s="1">
        <v>4.64429474067214</v>
      </c>
      <c r="L27" s="1">
        <v>0.1969176</v>
      </c>
      <c r="M27" s="1">
        <v>9.57750183962466</v>
      </c>
      <c r="N27" s="1">
        <v>6.350886</v>
      </c>
      <c r="O27" s="1">
        <v>11.7219538645927</v>
      </c>
      <c r="P27" s="1">
        <v>140.84</v>
      </c>
      <c r="Q27" s="1">
        <v>158.62</v>
      </c>
      <c r="R27" s="1">
        <v>129.35</v>
      </c>
      <c r="S27" s="1">
        <v>102.99</v>
      </c>
      <c r="T27" s="1">
        <v>236.39</v>
      </c>
      <c r="U27" s="1">
        <v>14435.31</v>
      </c>
      <c r="V27" s="1">
        <v>572</v>
      </c>
      <c r="W27" s="1">
        <v>123247</v>
      </c>
      <c r="X27" s="1">
        <v>2.27556136013608</v>
      </c>
      <c r="Y27" s="1">
        <v>15.31</v>
      </c>
      <c r="Z27" s="1">
        <v>0.443099999999228</v>
      </c>
      <c r="AA27" s="1">
        <v>8.57198860860022</v>
      </c>
      <c r="AB27" s="1">
        <f t="shared" si="0"/>
        <v>2.1484997487024</v>
      </c>
      <c r="AC27" s="1">
        <v>3.33710497606108</v>
      </c>
      <c r="AD27" s="1">
        <v>0.0262760778859527</v>
      </c>
      <c r="AE27" s="1">
        <v>0.766768651447399</v>
      </c>
      <c r="AF27" s="1">
        <v>337</v>
      </c>
      <c r="AG27" s="1">
        <v>0.450752</v>
      </c>
      <c r="AH27" s="2">
        <v>5.4697</v>
      </c>
      <c r="AI27" s="1">
        <v>121.783088235294</v>
      </c>
      <c r="AJ27" s="1">
        <v>15.1394686278407</v>
      </c>
      <c r="AK27" s="1">
        <v>14.0071458850603</v>
      </c>
      <c r="AL27" s="1">
        <v>15.1816632770846</v>
      </c>
      <c r="AM27" s="1">
        <v>11.8274653254077</v>
      </c>
      <c r="AN27" s="1">
        <v>923</v>
      </c>
      <c r="AO27" s="1">
        <v>0.07400072</v>
      </c>
      <c r="AP27" s="1">
        <v>0.03207415</v>
      </c>
      <c r="AQ27" s="1">
        <v>0.05048188</v>
      </c>
      <c r="AR27" s="1">
        <v>0</v>
      </c>
      <c r="AS27" s="1">
        <v>0</v>
      </c>
      <c r="AT27" s="1">
        <v>0</v>
      </c>
      <c r="AU27" s="1">
        <v>0.00809107</v>
      </c>
      <c r="AV27" s="1">
        <v>0.0537076</v>
      </c>
      <c r="AW27" s="1">
        <v>0.02319344</v>
      </c>
      <c r="AX27" s="1">
        <v>0.01956384</v>
      </c>
      <c r="AY27" s="1">
        <v>0.03757701</v>
      </c>
      <c r="AZ27" s="1">
        <v>29107</v>
      </c>
      <c r="BA27" s="1">
        <v>75.57</v>
      </c>
      <c r="BB27" s="1">
        <f t="shared" si="1"/>
        <v>10.2787339740603</v>
      </c>
      <c r="BC27" s="1">
        <v>0.000786</v>
      </c>
      <c r="BD27" s="1">
        <v>1195.85</v>
      </c>
      <c r="BE27" s="1">
        <v>1.25592482089996</v>
      </c>
      <c r="BF27" s="1">
        <v>6.3323374</v>
      </c>
      <c r="BG27" s="1">
        <v>11.33291</v>
      </c>
      <c r="BH27" s="1">
        <v>13496.267525</v>
      </c>
      <c r="BI27" s="1">
        <f t="shared" si="2"/>
        <v>9.51016844656935</v>
      </c>
      <c r="BJ27" s="1">
        <v>16.15295</v>
      </c>
      <c r="BK27" s="1">
        <v>137730.6</v>
      </c>
      <c r="BL27" s="1">
        <v>121.783088235294</v>
      </c>
      <c r="BM27" s="1">
        <v>923568</v>
      </c>
      <c r="BN27" s="1">
        <v>6570000</v>
      </c>
      <c r="BO27" s="1">
        <v>0.1406</v>
      </c>
      <c r="BP27" s="1">
        <v>2.684283</v>
      </c>
      <c r="BQ27" s="1">
        <v>121.78309</v>
      </c>
      <c r="BR27" s="1">
        <v>103077</v>
      </c>
      <c r="BS27" s="3">
        <v>4700000</v>
      </c>
    </row>
    <row r="28" spans="1:71">
      <c r="A28" s="1" t="s">
        <v>73</v>
      </c>
      <c r="B28" s="1">
        <v>3</v>
      </c>
      <c r="C28" s="1">
        <v>114.127</v>
      </c>
      <c r="D28" s="1">
        <v>22.6546</v>
      </c>
      <c r="E28" s="1">
        <v>2013</v>
      </c>
      <c r="F28" s="1">
        <v>0.539063463931906</v>
      </c>
      <c r="G28" s="1">
        <v>7.70087453625348</v>
      </c>
      <c r="H28" s="1">
        <v>5.20477562213967</v>
      </c>
      <c r="I28" s="1">
        <v>5.24749764421806</v>
      </c>
      <c r="J28" s="1">
        <v>5.14598170524433</v>
      </c>
      <c r="K28" s="1">
        <v>5.16369966982309</v>
      </c>
      <c r="L28" s="1">
        <v>0.1969176</v>
      </c>
      <c r="M28" s="1">
        <v>10.1202149643789</v>
      </c>
      <c r="N28" s="1">
        <v>6.376727</v>
      </c>
      <c r="O28" s="1">
        <v>11.8273638727295</v>
      </c>
      <c r="P28" s="1">
        <v>181.14</v>
      </c>
      <c r="Q28" s="1">
        <v>189.09</v>
      </c>
      <c r="R28" s="1">
        <v>170.74</v>
      </c>
      <c r="S28" s="1">
        <v>173.81</v>
      </c>
      <c r="T28" s="1">
        <v>200.71</v>
      </c>
      <c r="U28" s="1">
        <v>24839.11</v>
      </c>
      <c r="V28" s="1">
        <v>587</v>
      </c>
      <c r="W28" s="1">
        <v>136948</v>
      </c>
      <c r="X28" s="1">
        <v>2.29560925748889</v>
      </c>
      <c r="Y28" s="1">
        <v>12.66</v>
      </c>
      <c r="Z28" s="1">
        <v>0.434300000002759</v>
      </c>
      <c r="AA28" s="1">
        <v>8.57968593083286</v>
      </c>
      <c r="AB28" s="1">
        <f t="shared" si="0"/>
        <v>2.14939730803186</v>
      </c>
      <c r="AC28" s="1">
        <v>3.42301944971881</v>
      </c>
      <c r="AD28" s="1">
        <v>0.0265381642512077</v>
      </c>
      <c r="AE28" s="1">
        <v>0.798232511824745</v>
      </c>
      <c r="AF28" s="1">
        <v>348</v>
      </c>
      <c r="AG28" s="1">
        <v>0.464574</v>
      </c>
      <c r="AH28" s="2">
        <v>5.30683</v>
      </c>
      <c r="AI28" s="1">
        <v>121.783088235294</v>
      </c>
      <c r="AJ28" s="1">
        <v>15.1394686278407</v>
      </c>
      <c r="AK28" s="1">
        <v>14.0071458850603</v>
      </c>
      <c r="AL28" s="1">
        <v>15.1816632770846</v>
      </c>
      <c r="AM28" s="1">
        <v>11.8274653254077</v>
      </c>
      <c r="AN28" s="1">
        <v>923</v>
      </c>
      <c r="AO28" s="1">
        <v>0.07400072</v>
      </c>
      <c r="AP28" s="1">
        <v>0.03207415</v>
      </c>
      <c r="AQ28" s="1">
        <v>0.05048188</v>
      </c>
      <c r="AR28" s="1">
        <v>0</v>
      </c>
      <c r="AS28" s="1">
        <v>0</v>
      </c>
      <c r="AT28" s="1">
        <v>0</v>
      </c>
      <c r="AU28" s="1">
        <v>0.00809107</v>
      </c>
      <c r="AV28" s="1">
        <v>0.0537076</v>
      </c>
      <c r="AW28" s="1">
        <v>0.02319344</v>
      </c>
      <c r="AX28" s="1">
        <v>0.01956384</v>
      </c>
      <c r="AY28" s="1">
        <v>0.03757701</v>
      </c>
      <c r="AZ28" s="1">
        <v>28183</v>
      </c>
      <c r="BA28" s="1">
        <v>82.4</v>
      </c>
      <c r="BB28" s="1">
        <f t="shared" si="1"/>
        <v>10.2464742382676</v>
      </c>
      <c r="BC28" s="1">
        <v>0.00175</v>
      </c>
      <c r="BD28" s="1">
        <v>1257.17</v>
      </c>
      <c r="BE28" s="1">
        <v>1.30186498165131</v>
      </c>
      <c r="BF28" s="1">
        <v>33.290655</v>
      </c>
      <c r="BG28" s="1">
        <v>28.70105</v>
      </c>
      <c r="BH28" s="1">
        <v>15234.243603</v>
      </c>
      <c r="BI28" s="1">
        <f t="shared" si="2"/>
        <v>9.63130104154927</v>
      </c>
      <c r="BJ28" s="1">
        <v>16.15295</v>
      </c>
      <c r="BK28" s="1">
        <v>151393.6</v>
      </c>
      <c r="BL28" s="1">
        <v>121.783088235294</v>
      </c>
      <c r="BM28" s="1">
        <v>923568</v>
      </c>
      <c r="BN28" s="1">
        <v>6570000</v>
      </c>
      <c r="BO28" s="1">
        <v>0.1406</v>
      </c>
      <c r="BP28" s="1">
        <v>2.684283</v>
      </c>
      <c r="BQ28" s="1">
        <v>121.78309</v>
      </c>
      <c r="BR28" s="1">
        <v>103077</v>
      </c>
      <c r="BS28" s="3">
        <v>4700000</v>
      </c>
    </row>
    <row r="29" spans="1:71">
      <c r="A29" s="1" t="s">
        <v>73</v>
      </c>
      <c r="B29" s="1">
        <v>3</v>
      </c>
      <c r="C29" s="1">
        <v>114.127</v>
      </c>
      <c r="D29" s="1">
        <v>22.6546</v>
      </c>
      <c r="E29" s="1">
        <v>2014</v>
      </c>
      <c r="F29" s="1">
        <v>0.618026948888662</v>
      </c>
      <c r="G29" s="1">
        <v>7.78680140899632</v>
      </c>
      <c r="H29" s="1">
        <v>5.24839155777831</v>
      </c>
      <c r="I29" s="1">
        <v>5.39807219968502</v>
      </c>
      <c r="J29" s="1">
        <v>5.04206935958578</v>
      </c>
      <c r="K29" s="1">
        <v>5.03213582554225</v>
      </c>
      <c r="L29" s="1">
        <v>0.1969176</v>
      </c>
      <c r="M29" s="1">
        <v>10.7064713908658</v>
      </c>
      <c r="N29" s="1">
        <v>6.244167</v>
      </c>
      <c r="O29" s="1">
        <v>11.915024915602</v>
      </c>
      <c r="P29" s="1">
        <v>189.26</v>
      </c>
      <c r="Q29" s="1">
        <v>219.98</v>
      </c>
      <c r="R29" s="1">
        <v>153.79</v>
      </c>
      <c r="S29" s="1">
        <v>152.26</v>
      </c>
      <c r="T29" s="1">
        <v>209.9</v>
      </c>
      <c r="U29" s="1">
        <v>44642.83</v>
      </c>
      <c r="V29" s="1">
        <v>514</v>
      </c>
      <c r="W29" s="1">
        <v>149495</v>
      </c>
      <c r="X29" s="1">
        <v>1.87232944061172</v>
      </c>
      <c r="Y29" s="1">
        <v>11.97</v>
      </c>
      <c r="Z29" s="1">
        <v>0.425700000000625</v>
      </c>
      <c r="AA29" s="1">
        <v>8.59369974400647</v>
      </c>
      <c r="AB29" s="1">
        <f t="shared" si="0"/>
        <v>2.15102934687959</v>
      </c>
      <c r="AC29" s="1">
        <v>3.44766080274853</v>
      </c>
      <c r="AD29" s="1">
        <v>0.0263919325707405</v>
      </c>
      <c r="AE29" s="1">
        <v>0.818212328000895</v>
      </c>
      <c r="AF29" s="1">
        <v>895</v>
      </c>
      <c r="AG29" s="1">
        <v>0.519996</v>
      </c>
      <c r="AH29" s="2">
        <v>5.35138</v>
      </c>
      <c r="AI29" s="1">
        <v>121.783088235294</v>
      </c>
      <c r="AJ29" s="1">
        <v>15.1394686278407</v>
      </c>
      <c r="AK29" s="1">
        <v>14.0071458850603</v>
      </c>
      <c r="AL29" s="1">
        <v>15.1816632770846</v>
      </c>
      <c r="AM29" s="1">
        <v>11.8274653254077</v>
      </c>
      <c r="AN29" s="1">
        <v>923</v>
      </c>
      <c r="AO29" s="1">
        <v>0.07400072</v>
      </c>
      <c r="AP29" s="1">
        <v>0.03207415</v>
      </c>
      <c r="AQ29" s="1">
        <v>0.05048188</v>
      </c>
      <c r="AR29" s="1">
        <v>0</v>
      </c>
      <c r="AS29" s="1">
        <v>0</v>
      </c>
      <c r="AT29" s="1">
        <v>0</v>
      </c>
      <c r="AU29" s="1">
        <v>0.00809107</v>
      </c>
      <c r="AV29" s="1">
        <v>0.0537076</v>
      </c>
      <c r="AW29" s="1">
        <v>0.02319344</v>
      </c>
      <c r="AX29" s="1">
        <v>0.01956384</v>
      </c>
      <c r="AY29" s="1">
        <v>0.03757701</v>
      </c>
      <c r="AZ29" s="1">
        <v>27951</v>
      </c>
      <c r="BA29" s="1">
        <v>87.674</v>
      </c>
      <c r="BB29" s="1">
        <f t="shared" si="1"/>
        <v>10.2382082561185</v>
      </c>
      <c r="BC29" s="1">
        <v>0.000723</v>
      </c>
      <c r="BD29" s="1">
        <v>1324.1</v>
      </c>
      <c r="BE29" s="1">
        <v>1.3481308221817</v>
      </c>
      <c r="BF29" s="1">
        <v>9.545329</v>
      </c>
      <c r="BG29" s="1">
        <v>57.72632</v>
      </c>
      <c r="BH29" s="1">
        <v>16795.350749</v>
      </c>
      <c r="BI29" s="1">
        <f t="shared" si="2"/>
        <v>9.7288573859605</v>
      </c>
      <c r="BJ29" s="1">
        <v>16.15295</v>
      </c>
      <c r="BK29" s="1">
        <v>165776</v>
      </c>
      <c r="BL29" s="1">
        <v>121.783088235294</v>
      </c>
      <c r="BM29" s="1">
        <v>923568</v>
      </c>
      <c r="BN29" s="1">
        <v>6570000</v>
      </c>
      <c r="BO29" s="1">
        <v>0.1406</v>
      </c>
      <c r="BP29" s="1">
        <v>2.684283</v>
      </c>
      <c r="BQ29" s="1">
        <v>121.78309</v>
      </c>
      <c r="BR29" s="1">
        <v>103077</v>
      </c>
      <c r="BS29" s="3">
        <v>4700000</v>
      </c>
    </row>
    <row r="30" spans="1:71">
      <c r="A30" s="1" t="s">
        <v>73</v>
      </c>
      <c r="B30" s="1">
        <v>3</v>
      </c>
      <c r="C30" s="1">
        <v>114.127</v>
      </c>
      <c r="D30" s="1">
        <v>22.6546</v>
      </c>
      <c r="E30" s="1">
        <v>2015</v>
      </c>
      <c r="F30" s="1">
        <v>1.0037610197434</v>
      </c>
      <c r="G30" s="1">
        <v>7.79488109078098</v>
      </c>
      <c r="H30" s="1">
        <v>5.39811745162521</v>
      </c>
      <c r="I30" s="1">
        <v>5.49671730397133</v>
      </c>
      <c r="J30" s="1">
        <v>5.17739189861915</v>
      </c>
      <c r="K30" s="1">
        <v>5.41583369997587</v>
      </c>
      <c r="L30" s="1">
        <v>0.1969176</v>
      </c>
      <c r="M30" s="1">
        <v>11.019601293415</v>
      </c>
      <c r="N30" s="1">
        <v>6.75227</v>
      </c>
      <c r="O30" s="1">
        <v>11.9702617004882</v>
      </c>
      <c r="P30" s="1">
        <v>219.99</v>
      </c>
      <c r="Q30" s="1">
        <v>242.89</v>
      </c>
      <c r="R30" s="1">
        <v>176.22</v>
      </c>
      <c r="S30" s="1">
        <v>223.94</v>
      </c>
      <c r="T30" s="1">
        <v>247.74</v>
      </c>
      <c r="U30" s="1">
        <v>61058.33</v>
      </c>
      <c r="V30" s="1">
        <v>855</v>
      </c>
      <c r="W30" s="1">
        <v>157985</v>
      </c>
      <c r="X30" s="1">
        <v>1.57211876543583</v>
      </c>
      <c r="Y30" s="1">
        <v>37.32</v>
      </c>
      <c r="Z30" s="1">
        <v>0.411799999998857</v>
      </c>
      <c r="AA30" s="1">
        <v>8.86526538884113</v>
      </c>
      <c r="AB30" s="1">
        <f t="shared" si="0"/>
        <v>2.18214087577758</v>
      </c>
      <c r="AC30" s="1">
        <v>5.15503880353657</v>
      </c>
      <c r="AD30" s="1">
        <v>0.0253843770247049</v>
      </c>
      <c r="AE30" s="1">
        <v>1.16213633467828</v>
      </c>
      <c r="AF30" s="1">
        <v>1766</v>
      </c>
      <c r="AG30" s="1">
        <v>0.54607</v>
      </c>
      <c r="AH30" s="2">
        <v>5.51641</v>
      </c>
      <c r="AI30" s="1">
        <v>121.783088235294</v>
      </c>
      <c r="AJ30" s="1">
        <v>15.1394686278407</v>
      </c>
      <c r="AK30" s="1">
        <v>14.0071458850603</v>
      </c>
      <c r="AL30" s="1">
        <v>15.1816632770846</v>
      </c>
      <c r="AM30" s="1">
        <v>11.8274653254077</v>
      </c>
      <c r="AN30" s="1">
        <v>923</v>
      </c>
      <c r="AO30" s="1">
        <v>0.07400072</v>
      </c>
      <c r="AP30" s="1">
        <v>0.03207415</v>
      </c>
      <c r="AQ30" s="1">
        <v>0.05048188</v>
      </c>
      <c r="AR30" s="1">
        <v>0</v>
      </c>
      <c r="AS30" s="1">
        <v>0</v>
      </c>
      <c r="AT30" s="1">
        <v>0</v>
      </c>
      <c r="AU30" s="1">
        <v>0.00809107</v>
      </c>
      <c r="AV30" s="1">
        <v>0.0537076</v>
      </c>
      <c r="AW30" s="1">
        <v>0.02319344</v>
      </c>
      <c r="AX30" s="1">
        <v>0.01956384</v>
      </c>
      <c r="AY30" s="1">
        <v>0.03757701</v>
      </c>
      <c r="AZ30" s="1">
        <v>36462</v>
      </c>
      <c r="BA30" s="1">
        <v>90.112</v>
      </c>
      <c r="BB30" s="1">
        <f t="shared" si="1"/>
        <v>10.5040259013634</v>
      </c>
      <c r="BC30" s="1">
        <v>0.0009</v>
      </c>
      <c r="BD30" s="1">
        <v>1414.21</v>
      </c>
      <c r="BE30" s="1">
        <v>1.39737832546234</v>
      </c>
      <c r="BF30" s="1">
        <v>21.365041</v>
      </c>
      <c r="BG30" s="1">
        <v>13.9704</v>
      </c>
      <c r="BH30" s="1">
        <v>18436.83593</v>
      </c>
      <c r="BI30" s="1">
        <f t="shared" si="2"/>
        <v>9.8221058950776</v>
      </c>
      <c r="BJ30" s="1">
        <v>16.15295</v>
      </c>
      <c r="BK30" s="1">
        <v>174142.9</v>
      </c>
      <c r="BL30" s="1">
        <v>121.783088235294</v>
      </c>
      <c r="BM30" s="1">
        <v>923568</v>
      </c>
      <c r="BN30" s="1">
        <v>6570000</v>
      </c>
      <c r="BO30" s="1">
        <v>0.1406</v>
      </c>
      <c r="BP30" s="1">
        <v>2.684283</v>
      </c>
      <c r="BQ30" s="1">
        <v>121.78309</v>
      </c>
      <c r="BR30" s="1">
        <v>103077</v>
      </c>
      <c r="BS30" s="3">
        <v>4700000</v>
      </c>
    </row>
    <row r="31" spans="1:71">
      <c r="A31" s="1" t="s">
        <v>73</v>
      </c>
      <c r="B31" s="1">
        <v>3</v>
      </c>
      <c r="C31" s="1">
        <v>114.127</v>
      </c>
      <c r="D31" s="1">
        <v>22.6546</v>
      </c>
      <c r="E31" s="1">
        <v>2016</v>
      </c>
      <c r="F31" s="1">
        <v>0.671506786957272</v>
      </c>
      <c r="G31" s="1">
        <v>7.8319506130089</v>
      </c>
      <c r="H31" s="1">
        <v>5.47665799620591</v>
      </c>
      <c r="I31" s="1">
        <v>5.5417563735025</v>
      </c>
      <c r="J31" s="1">
        <v>5.40268326428741</v>
      </c>
      <c r="K31" s="1">
        <v>5.37962769875369</v>
      </c>
      <c r="L31" s="1">
        <v>0.1969176</v>
      </c>
      <c r="M31" s="1">
        <v>11.4357942813606</v>
      </c>
      <c r="N31" s="1">
        <v>7.0335064</v>
      </c>
      <c r="O31" s="1">
        <v>12.0282131190561</v>
      </c>
      <c r="P31" s="1">
        <v>238.046476709458</v>
      </c>
      <c r="Q31" s="1">
        <v>254.125702185183</v>
      </c>
      <c r="R31" s="1">
        <v>221.001305910318</v>
      </c>
      <c r="S31" s="1">
        <v>215.941492780466</v>
      </c>
      <c r="T31" s="1">
        <v>237.878</v>
      </c>
      <c r="U31" s="1">
        <v>92575.84</v>
      </c>
      <c r="V31" s="1">
        <v>1133</v>
      </c>
      <c r="W31" s="1">
        <v>167411</v>
      </c>
      <c r="X31" s="1">
        <v>1.3495895047604</v>
      </c>
      <c r="Y31" s="1">
        <v>6.53</v>
      </c>
      <c r="Z31" s="1">
        <v>0.399099999998974</v>
      </c>
      <c r="AA31" s="1">
        <v>8.92516558596824</v>
      </c>
      <c r="AB31" s="1">
        <f t="shared" si="0"/>
        <v>2.18887488054326</v>
      </c>
      <c r="AC31" s="1">
        <v>4.85967516741685</v>
      </c>
      <c r="AD31" s="1">
        <v>0.0238657142857143</v>
      </c>
      <c r="AE31" s="1">
        <v>0.694524210317853</v>
      </c>
      <c r="AF31" s="1">
        <v>1676</v>
      </c>
      <c r="AG31" s="1">
        <v>0.507888</v>
      </c>
      <c r="AH31" s="2">
        <v>5.47595</v>
      </c>
      <c r="AI31" s="1">
        <v>121.783088235294</v>
      </c>
      <c r="AJ31" s="1">
        <v>15.1394686278407</v>
      </c>
      <c r="AK31" s="1">
        <v>14.0071458850603</v>
      </c>
      <c r="AL31" s="1">
        <v>15.1816632770846</v>
      </c>
      <c r="AM31" s="1">
        <v>11.8274653254077</v>
      </c>
      <c r="AN31" s="1">
        <v>923</v>
      </c>
      <c r="AO31" s="1">
        <v>0.07400072</v>
      </c>
      <c r="AP31" s="1">
        <v>0.03207415</v>
      </c>
      <c r="AQ31" s="1">
        <v>0.05048188</v>
      </c>
      <c r="AR31" s="1">
        <v>0</v>
      </c>
      <c r="AS31" s="1">
        <v>0</v>
      </c>
      <c r="AT31" s="1">
        <v>0</v>
      </c>
      <c r="AU31" s="1">
        <v>0.00809107</v>
      </c>
      <c r="AV31" s="1">
        <v>0.0537076</v>
      </c>
      <c r="AW31" s="1">
        <v>0.02319344</v>
      </c>
      <c r="AX31" s="1">
        <v>0.01956384</v>
      </c>
      <c r="AY31" s="1">
        <v>0.03757701</v>
      </c>
      <c r="AZ31" s="1">
        <v>48256</v>
      </c>
      <c r="BA31" s="1">
        <v>91.9</v>
      </c>
      <c r="BB31" s="1">
        <f t="shared" si="1"/>
        <v>10.7842754513676</v>
      </c>
      <c r="BC31" s="1">
        <v>0.000871</v>
      </c>
      <c r="BD31" s="1">
        <v>1501.51</v>
      </c>
      <c r="BE31" s="1">
        <v>1.48404955863953</v>
      </c>
      <c r="BF31" s="1">
        <v>100.6662261</v>
      </c>
      <c r="BG31" s="1">
        <v>104.1803</v>
      </c>
      <c r="BH31" s="1">
        <v>20685.735775</v>
      </c>
      <c r="BI31" s="1">
        <f t="shared" si="2"/>
        <v>9.93719964872459</v>
      </c>
      <c r="BJ31" s="1">
        <v>16.15295</v>
      </c>
      <c r="BK31" s="1">
        <v>184748.5</v>
      </c>
      <c r="BL31" s="1">
        <v>121.783088235294</v>
      </c>
      <c r="BM31" s="1">
        <v>923568</v>
      </c>
      <c r="BN31" s="1">
        <v>6570000</v>
      </c>
      <c r="BO31" s="1">
        <v>0.1406</v>
      </c>
      <c r="BP31" s="1">
        <v>2.684283</v>
      </c>
      <c r="BQ31" s="1">
        <v>121.78309</v>
      </c>
      <c r="BR31" s="1">
        <v>103077</v>
      </c>
      <c r="BS31" s="3">
        <v>4700000</v>
      </c>
    </row>
    <row r="32" spans="1:71">
      <c r="A32" s="1" t="s">
        <v>73</v>
      </c>
      <c r="B32" s="1">
        <v>3</v>
      </c>
      <c r="C32" s="1">
        <v>114.127</v>
      </c>
      <c r="D32" s="1">
        <v>22.6546</v>
      </c>
      <c r="E32" s="1">
        <v>2017</v>
      </c>
      <c r="F32" s="1">
        <v>1.01173085872478</v>
      </c>
      <c r="G32" s="1">
        <v>7.55307587862715</v>
      </c>
      <c r="H32" s="1">
        <v>5.61210013477559</v>
      </c>
      <c r="I32" s="1">
        <v>5.61318824326594</v>
      </c>
      <c r="J32" s="1">
        <v>5.66100629591948</v>
      </c>
      <c r="K32" s="1">
        <v>5.5127071649201</v>
      </c>
      <c r="L32" s="1">
        <v>0.1969176</v>
      </c>
      <c r="M32" s="1">
        <v>11.8636736704405</v>
      </c>
      <c r="N32" s="1">
        <v>7.1049657</v>
      </c>
      <c r="O32" s="1">
        <v>12.12021514802</v>
      </c>
      <c r="P32" s="1">
        <v>272.718480490499</v>
      </c>
      <c r="Q32" s="1">
        <v>273.016478011037</v>
      </c>
      <c r="R32" s="1">
        <v>286.437744483379</v>
      </c>
      <c r="S32" s="1">
        <v>246.821112404717</v>
      </c>
      <c r="T32" s="1">
        <v>239.5251</v>
      </c>
      <c r="U32" s="1">
        <v>142011.97</v>
      </c>
      <c r="V32" s="1">
        <v>1217</v>
      </c>
      <c r="W32" s="1">
        <v>183544</v>
      </c>
      <c r="X32" s="1">
        <v>1.24550409130548</v>
      </c>
      <c r="Y32" s="1">
        <v>30.63</v>
      </c>
      <c r="Z32" s="4">
        <v>0.405</v>
      </c>
      <c r="AA32" s="1">
        <v>8.98073507712502</v>
      </c>
      <c r="AB32" s="1">
        <f t="shared" si="0"/>
        <v>2.19508173610487</v>
      </c>
      <c r="AC32" s="1">
        <v>4.69248043666725</v>
      </c>
      <c r="AD32" s="1">
        <v>0.018531724137931</v>
      </c>
      <c r="AE32" s="1">
        <v>0.740853359489946</v>
      </c>
      <c r="AF32" s="1">
        <v>2922</v>
      </c>
      <c r="AG32" s="1">
        <v>0.585562</v>
      </c>
      <c r="AH32" s="2">
        <v>5.48282</v>
      </c>
      <c r="AI32" s="1">
        <v>121.783088235294</v>
      </c>
      <c r="AJ32" s="1">
        <v>15.1394686278407</v>
      </c>
      <c r="AK32" s="1">
        <v>14.0071458850603</v>
      </c>
      <c r="AL32" s="1">
        <v>15.1816632770846</v>
      </c>
      <c r="AM32" s="1">
        <v>11.8274653254077</v>
      </c>
      <c r="AN32" s="1">
        <v>923</v>
      </c>
      <c r="AO32" s="1">
        <v>0.07400072</v>
      </c>
      <c r="AP32" s="1">
        <v>0.03207415</v>
      </c>
      <c r="AQ32" s="1">
        <v>0.05048188</v>
      </c>
      <c r="AR32" s="1">
        <v>0</v>
      </c>
      <c r="AS32" s="1">
        <v>0</v>
      </c>
      <c r="AT32" s="1">
        <v>0</v>
      </c>
      <c r="AU32" s="1">
        <v>0.00809107</v>
      </c>
      <c r="AV32" s="1">
        <v>0.0537076</v>
      </c>
      <c r="AW32" s="1">
        <v>0.02319344</v>
      </c>
      <c r="AX32" s="1">
        <v>0.01956384</v>
      </c>
      <c r="AY32" s="1">
        <v>0.03757701</v>
      </c>
      <c r="AZ32" s="1">
        <v>65021</v>
      </c>
      <c r="BA32" s="1">
        <v>96.7</v>
      </c>
      <c r="BB32" s="1">
        <f t="shared" si="1"/>
        <v>11.0824655736227</v>
      </c>
      <c r="BC32" s="1">
        <v>0.00109</v>
      </c>
      <c r="BD32" s="1">
        <v>1587.31</v>
      </c>
      <c r="BE32" s="1">
        <v>1.49110019207001</v>
      </c>
      <c r="BF32" s="1">
        <v>359.0824844</v>
      </c>
      <c r="BG32" s="1">
        <v>107.03198</v>
      </c>
      <c r="BH32" s="1">
        <v>23280.271895</v>
      </c>
      <c r="BI32" s="1">
        <f t="shared" si="2"/>
        <v>10.0553615811157</v>
      </c>
      <c r="BJ32" s="1">
        <v>16.15295</v>
      </c>
      <c r="BK32" s="1">
        <v>196288.2</v>
      </c>
      <c r="BL32" s="1">
        <v>121.783088235294</v>
      </c>
      <c r="BM32" s="1">
        <v>923568</v>
      </c>
      <c r="BN32" s="1">
        <v>6570000</v>
      </c>
      <c r="BO32" s="1">
        <v>0.1406</v>
      </c>
      <c r="BP32" s="1">
        <v>2.684283</v>
      </c>
      <c r="BQ32" s="1">
        <v>121.78309</v>
      </c>
      <c r="BR32" s="1">
        <v>103077</v>
      </c>
      <c r="BS32" s="3">
        <v>4700000</v>
      </c>
    </row>
    <row r="33" spans="1:71">
      <c r="A33" s="1" t="s">
        <v>73</v>
      </c>
      <c r="B33" s="1">
        <v>3</v>
      </c>
      <c r="C33" s="1">
        <v>114.127</v>
      </c>
      <c r="D33" s="1">
        <v>22.6546</v>
      </c>
      <c r="E33" s="1">
        <v>2018</v>
      </c>
      <c r="F33" s="1">
        <v>1.00979839715472</v>
      </c>
      <c r="G33" s="1">
        <v>7.57686295059558</v>
      </c>
      <c r="H33" s="1">
        <v>5.67064579246223</v>
      </c>
      <c r="I33" s="1">
        <v>5.67441365598663</v>
      </c>
      <c r="J33" s="1">
        <v>5.62679159959504</v>
      </c>
      <c r="K33" s="1">
        <v>5.73415002614729</v>
      </c>
      <c r="L33" s="1">
        <v>0.1969176</v>
      </c>
      <c r="M33" s="1">
        <v>10.9871811082568</v>
      </c>
      <c r="N33" s="1">
        <v>7.161622</v>
      </c>
      <c r="O33" s="1">
        <v>12.1525083533254</v>
      </c>
      <c r="P33" s="1">
        <v>289.221897032961</v>
      </c>
      <c r="Q33" s="1">
        <v>290.317476178247</v>
      </c>
      <c r="R33" s="1">
        <v>276.769490727751</v>
      </c>
      <c r="S33" s="1">
        <v>308.250004564341</v>
      </c>
      <c r="T33" s="1">
        <v>246.097</v>
      </c>
      <c r="U33" s="1">
        <v>59110.52</v>
      </c>
      <c r="V33" s="1">
        <v>1288</v>
      </c>
      <c r="W33" s="1">
        <v>189568</v>
      </c>
      <c r="X33" s="1">
        <v>1.2378733526257</v>
      </c>
      <c r="Y33" s="1">
        <v>13.05</v>
      </c>
      <c r="Z33" s="1">
        <v>0.411299999998761</v>
      </c>
      <c r="AA33" s="1">
        <v>9.02919188750473</v>
      </c>
      <c r="AB33" s="1">
        <f t="shared" si="0"/>
        <v>2.20046287145357</v>
      </c>
      <c r="AC33" s="1">
        <v>4.82949924017557</v>
      </c>
      <c r="AD33" s="4">
        <v>0.0206210509451965</v>
      </c>
      <c r="AE33" s="1">
        <v>1.4935368956743</v>
      </c>
      <c r="AF33" s="1">
        <v>2033</v>
      </c>
      <c r="AG33" s="1">
        <v>0.554648</v>
      </c>
      <c r="AH33" s="2">
        <v>5.50978</v>
      </c>
      <c r="AI33" s="1">
        <v>121.783088235294</v>
      </c>
      <c r="AJ33" s="1">
        <v>15.1394686278407</v>
      </c>
      <c r="AK33" s="1">
        <v>14.0071458850603</v>
      </c>
      <c r="AL33" s="1">
        <v>15.1816632770846</v>
      </c>
      <c r="AM33" s="1">
        <v>11.8274653254077</v>
      </c>
      <c r="AN33" s="1">
        <v>923</v>
      </c>
      <c r="AO33" s="1">
        <v>0.07400072</v>
      </c>
      <c r="AP33" s="1">
        <v>0.03207415</v>
      </c>
      <c r="AQ33" s="1">
        <v>0.05048188</v>
      </c>
      <c r="AR33" s="1">
        <v>0</v>
      </c>
      <c r="AS33" s="1">
        <v>0</v>
      </c>
      <c r="AT33" s="1">
        <v>0</v>
      </c>
      <c r="AU33" s="1">
        <v>0.00809107</v>
      </c>
      <c r="AV33" s="1">
        <v>0.0537076</v>
      </c>
      <c r="AW33" s="1">
        <v>0.02319344</v>
      </c>
      <c r="AX33" s="1">
        <v>0.01956384</v>
      </c>
      <c r="AY33" s="1">
        <v>0.03757701</v>
      </c>
      <c r="AZ33" s="1">
        <v>75887</v>
      </c>
      <c r="BA33" s="1">
        <v>103.829</v>
      </c>
      <c r="BB33" s="1">
        <f t="shared" si="1"/>
        <v>11.2370006707166</v>
      </c>
      <c r="BC33" s="1">
        <v>0.000354</v>
      </c>
      <c r="BD33" s="1">
        <v>1666.12</v>
      </c>
      <c r="BE33" s="1">
        <v>1.52539086341858</v>
      </c>
      <c r="BF33" s="1">
        <v>46.1315565</v>
      </c>
      <c r="BG33" s="1">
        <v>192.18544</v>
      </c>
      <c r="BH33" s="1">
        <v>25266.0771</v>
      </c>
      <c r="BI33" s="1">
        <f t="shared" si="2"/>
        <v>10.137217948917</v>
      </c>
      <c r="BJ33" s="1">
        <v>16.15295</v>
      </c>
      <c r="BK33" s="1">
        <v>207221.3</v>
      </c>
      <c r="BL33" s="1">
        <v>121.783088235294</v>
      </c>
      <c r="BM33" s="1">
        <v>923568</v>
      </c>
      <c r="BN33" s="1">
        <v>6570000</v>
      </c>
      <c r="BO33" s="1">
        <v>0.1406</v>
      </c>
      <c r="BP33" s="1">
        <v>2.684283</v>
      </c>
      <c r="BQ33" s="1">
        <v>121.78309</v>
      </c>
      <c r="BR33" s="1">
        <v>103077</v>
      </c>
      <c r="BS33" s="3">
        <v>4700000</v>
      </c>
    </row>
    <row r="34" spans="1:71">
      <c r="A34" s="1" t="s">
        <v>73</v>
      </c>
      <c r="B34" s="1">
        <v>3</v>
      </c>
      <c r="C34" s="1">
        <v>114.127</v>
      </c>
      <c r="D34" s="1">
        <v>22.6546</v>
      </c>
      <c r="E34" s="1">
        <v>2019</v>
      </c>
      <c r="F34" s="1">
        <v>1.00825174355588</v>
      </c>
      <c r="G34" s="1">
        <v>7.51014098900586</v>
      </c>
      <c r="H34" s="1">
        <v>5.72903811180792</v>
      </c>
      <c r="I34" s="1">
        <v>5.74272059243445</v>
      </c>
      <c r="J34" s="1">
        <v>5.67226376176391</v>
      </c>
      <c r="K34" s="1">
        <v>5.78245106081089</v>
      </c>
      <c r="L34" s="1">
        <v>0.1969176</v>
      </c>
      <c r="M34" s="1">
        <v>10.7976780636665</v>
      </c>
      <c r="N34" s="1">
        <v>7.31055</v>
      </c>
      <c r="O34" s="1">
        <v>12.2233722576015</v>
      </c>
      <c r="P34" s="1">
        <v>306.673178825254</v>
      </c>
      <c r="Q34" s="1">
        <v>310.911842656908</v>
      </c>
      <c r="R34" s="1">
        <v>289.691847189209</v>
      </c>
      <c r="S34" s="1">
        <v>323.553717218532</v>
      </c>
      <c r="T34" s="1">
        <v>347.13</v>
      </c>
      <c r="U34" s="1">
        <v>48906.11</v>
      </c>
      <c r="V34" s="1">
        <v>1495</v>
      </c>
      <c r="W34" s="1">
        <v>203489.0234</v>
      </c>
      <c r="X34" s="1">
        <v>1.10597224572189</v>
      </c>
      <c r="Y34" s="1">
        <v>18.22</v>
      </c>
      <c r="Z34" s="1">
        <v>0.3898</v>
      </c>
      <c r="AA34" s="1">
        <v>9.05542157883115</v>
      </c>
      <c r="AB34" s="1">
        <f t="shared" si="0"/>
        <v>2.20336364782545</v>
      </c>
      <c r="AC34" s="1">
        <v>5.03398398906202</v>
      </c>
      <c r="AD34" s="4">
        <v>0.0195935052557958</v>
      </c>
      <c r="AE34" s="1">
        <v>0.831661191512031</v>
      </c>
      <c r="AF34" s="1">
        <v>1628</v>
      </c>
      <c r="AG34" s="1">
        <v>0.57759</v>
      </c>
      <c r="AH34" s="2">
        <v>5.85258</v>
      </c>
      <c r="AI34" s="1">
        <v>121.783088235294</v>
      </c>
      <c r="AJ34" s="1">
        <v>15.1394686278407</v>
      </c>
      <c r="AK34" s="1">
        <v>14.0071458850603</v>
      </c>
      <c r="AL34" s="1">
        <v>15.1816632770846</v>
      </c>
      <c r="AM34" s="1">
        <v>11.8274653254077</v>
      </c>
      <c r="AN34" s="1">
        <v>923</v>
      </c>
      <c r="AO34" s="1">
        <v>0.07400072</v>
      </c>
      <c r="AP34" s="1">
        <v>0.03207415</v>
      </c>
      <c r="AQ34" s="1">
        <v>0.05048188</v>
      </c>
      <c r="AR34" s="1">
        <v>0</v>
      </c>
      <c r="AS34" s="1">
        <v>0</v>
      </c>
      <c r="AT34" s="1">
        <v>0</v>
      </c>
      <c r="AU34" s="1">
        <v>0.00809107</v>
      </c>
      <c r="AV34" s="1">
        <v>0.0537076</v>
      </c>
      <c r="AW34" s="1">
        <v>0.02319344</v>
      </c>
      <c r="AX34" s="1">
        <v>0.01956384</v>
      </c>
      <c r="AY34" s="1">
        <v>0.03757701</v>
      </c>
      <c r="AZ34" s="1">
        <v>84230</v>
      </c>
      <c r="BA34" s="1">
        <v>113.2</v>
      </c>
      <c r="BB34" s="1">
        <f t="shared" si="1"/>
        <v>11.3413064313094</v>
      </c>
      <c r="BC34" s="1">
        <v>0.000442</v>
      </c>
      <c r="BD34" s="1">
        <v>1710.4</v>
      </c>
      <c r="BE34" s="1">
        <v>1.59245824813843</v>
      </c>
      <c r="BF34" s="1">
        <v>14.401687</v>
      </c>
      <c r="BG34" s="1">
        <v>140.56004</v>
      </c>
      <c r="BH34" s="1">
        <v>26992.3265716747</v>
      </c>
      <c r="BI34" s="1">
        <f t="shared" si="2"/>
        <v>10.2033079035446</v>
      </c>
      <c r="BJ34" s="1">
        <v>16.15295</v>
      </c>
      <c r="BK34" s="1">
        <v>222395.5</v>
      </c>
      <c r="BL34" s="1">
        <v>121.783088235294</v>
      </c>
      <c r="BM34" s="1">
        <v>923568</v>
      </c>
      <c r="BN34" s="1">
        <v>6570000</v>
      </c>
      <c r="BO34" s="1">
        <v>0.1406</v>
      </c>
      <c r="BP34" s="1">
        <v>2.684283</v>
      </c>
      <c r="BQ34" s="1">
        <v>121.78309</v>
      </c>
      <c r="BR34" s="1">
        <v>103077</v>
      </c>
      <c r="BS34" s="3">
        <v>4700000</v>
      </c>
    </row>
    <row r="35" spans="1:71">
      <c r="A35" s="1" t="s">
        <v>73</v>
      </c>
      <c r="B35" s="1">
        <v>3</v>
      </c>
      <c r="C35" s="1">
        <v>114.127</v>
      </c>
      <c r="D35" s="1">
        <v>22.6546</v>
      </c>
      <c r="E35" s="1">
        <v>2020</v>
      </c>
      <c r="F35" s="1">
        <v>1.03400356360458</v>
      </c>
      <c r="G35" s="1">
        <v>7.57960394950098</v>
      </c>
      <c r="H35" s="1">
        <v>5.76907445312349</v>
      </c>
      <c r="I35" s="1">
        <v>5.78588601427916</v>
      </c>
      <c r="J35" s="1">
        <v>5.73385914181168</v>
      </c>
      <c r="K35" s="1">
        <v>5.77600878759908</v>
      </c>
      <c r="L35" s="1">
        <v>0.1969176</v>
      </c>
      <c r="M35" s="1">
        <v>11.657855334922</v>
      </c>
      <c r="N35" s="1">
        <v>7.201171</v>
      </c>
      <c r="O35" s="1">
        <v>11.9786079496287</v>
      </c>
      <c r="P35" s="1">
        <v>319.241197159194</v>
      </c>
      <c r="Q35" s="1">
        <v>324.670461009846</v>
      </c>
      <c r="R35" s="1">
        <v>308.160061672252</v>
      </c>
      <c r="S35" s="1">
        <v>321.469573977965</v>
      </c>
      <c r="T35" s="1">
        <v>329.63</v>
      </c>
      <c r="U35" s="1">
        <v>115594.85</v>
      </c>
      <c r="V35" s="1">
        <v>1340</v>
      </c>
      <c r="W35" s="1">
        <v>159309.1085</v>
      </c>
      <c r="X35" s="1">
        <v>1.10257881104449</v>
      </c>
      <c r="Y35" s="1">
        <v>25.61</v>
      </c>
      <c r="Z35" s="1">
        <v>0.3778</v>
      </c>
      <c r="AA35" s="1">
        <v>9.08592673942277</v>
      </c>
      <c r="AB35" s="1">
        <f t="shared" si="0"/>
        <v>2.20672670428718</v>
      </c>
      <c r="AC35" s="1">
        <v>5.71692768632963</v>
      </c>
      <c r="AD35" s="1">
        <v>0.018610152284264</v>
      </c>
      <c r="AE35" s="1">
        <v>0.731630510846746</v>
      </c>
      <c r="AF35" s="1">
        <v>1925</v>
      </c>
      <c r="AG35" s="1">
        <v>0.60824</v>
      </c>
      <c r="AH35" s="2">
        <v>5.801</v>
      </c>
      <c r="AI35" s="1">
        <v>121.783088235294</v>
      </c>
      <c r="AJ35" s="1">
        <v>15.1394686278407</v>
      </c>
      <c r="AK35" s="1">
        <v>14.0071458850603</v>
      </c>
      <c r="AL35" s="1">
        <v>15.1816632770846</v>
      </c>
      <c r="AM35" s="1">
        <v>11.8274653254077</v>
      </c>
      <c r="AN35" s="1">
        <v>923</v>
      </c>
      <c r="AO35" s="1">
        <v>0.07400072</v>
      </c>
      <c r="AP35" s="1">
        <v>0.03207415</v>
      </c>
      <c r="AQ35" s="1">
        <v>0.05048188</v>
      </c>
      <c r="AR35" s="1">
        <v>0</v>
      </c>
      <c r="AS35" s="1">
        <v>0</v>
      </c>
      <c r="AT35" s="1">
        <v>0</v>
      </c>
      <c r="AU35" s="1">
        <v>0.00809107</v>
      </c>
      <c r="AV35" s="1">
        <v>0.0537076</v>
      </c>
      <c r="AW35" s="1">
        <v>0.02319344</v>
      </c>
      <c r="AX35" s="1">
        <v>0.01956384</v>
      </c>
      <c r="AY35" s="1">
        <v>0.03757701</v>
      </c>
      <c r="AZ35" s="1">
        <v>94812</v>
      </c>
      <c r="BA35" s="1">
        <v>136.2</v>
      </c>
      <c r="BB35" s="1">
        <f t="shared" si="1"/>
        <v>11.4596512625107</v>
      </c>
      <c r="BC35" s="1">
        <v>0.000408</v>
      </c>
      <c r="BD35" s="1">
        <v>1763.38</v>
      </c>
      <c r="BE35" s="1">
        <v>1.64438664913177</v>
      </c>
      <c r="BF35" s="1">
        <v>32.7775817</v>
      </c>
      <c r="BG35" s="1">
        <v>95.54824</v>
      </c>
      <c r="BH35" s="1">
        <v>27670.2398</v>
      </c>
      <c r="BI35" s="1">
        <f t="shared" si="2"/>
        <v>10.2281127391692</v>
      </c>
      <c r="BJ35" s="1">
        <v>16.15295</v>
      </c>
      <c r="BK35" s="1">
        <v>229237.8</v>
      </c>
      <c r="BL35" s="1">
        <v>121.783088235294</v>
      </c>
      <c r="BM35" s="1">
        <v>923568</v>
      </c>
      <c r="BN35" s="1">
        <v>6570000</v>
      </c>
      <c r="BO35" s="1">
        <v>0.1406</v>
      </c>
      <c r="BP35" s="1">
        <v>2.684283</v>
      </c>
      <c r="BQ35" s="1">
        <v>121.78309</v>
      </c>
      <c r="BR35" s="1">
        <v>103077</v>
      </c>
      <c r="BS35" s="3">
        <v>4700000</v>
      </c>
    </row>
    <row r="36" spans="1:71">
      <c r="A36" s="1" t="s">
        <v>73</v>
      </c>
      <c r="B36" s="1">
        <v>3</v>
      </c>
      <c r="C36" s="1">
        <v>114.127</v>
      </c>
      <c r="D36" s="1">
        <v>22.6546</v>
      </c>
      <c r="E36" s="1">
        <v>2021</v>
      </c>
      <c r="F36" s="1">
        <v>1.00657330544326</v>
      </c>
      <c r="G36" s="1">
        <v>7.53440274291724</v>
      </c>
      <c r="H36" s="1">
        <v>5.84738505205188</v>
      </c>
      <c r="I36" s="1">
        <v>5.89344201662903</v>
      </c>
      <c r="J36" s="1">
        <v>5.79333521123757</v>
      </c>
      <c r="K36" s="1">
        <v>5.78554705044823</v>
      </c>
      <c r="L36" s="1">
        <v>0.1969176</v>
      </c>
      <c r="M36" s="1">
        <v>11.5194429797536</v>
      </c>
      <c r="N36" s="1">
        <v>8.031385</v>
      </c>
      <c r="O36" s="1">
        <v>11.8150432436746</v>
      </c>
      <c r="P36" s="1">
        <v>345.327566836312</v>
      </c>
      <c r="Q36" s="1">
        <v>361.651390743026</v>
      </c>
      <c r="R36" s="1">
        <v>327.105502740608</v>
      </c>
      <c r="S36" s="1">
        <v>324.560089240098</v>
      </c>
      <c r="T36" s="1">
        <v>348.1</v>
      </c>
      <c r="U36" s="1">
        <v>100652.88</v>
      </c>
      <c r="V36" s="1">
        <v>3075</v>
      </c>
      <c r="W36" s="1">
        <v>135271.0539</v>
      </c>
      <c r="X36" s="1">
        <v>1.15561439358305</v>
      </c>
      <c r="Y36" s="1">
        <v>7</v>
      </c>
      <c r="Z36" s="1">
        <v>0.3698</v>
      </c>
      <c r="AA36" s="1">
        <v>9.08863377540084</v>
      </c>
      <c r="AB36" s="1">
        <f t="shared" si="0"/>
        <v>2.20702459715737</v>
      </c>
      <c r="AC36" s="1">
        <v>5.91094616599803</v>
      </c>
      <c r="AD36" s="1">
        <v>0.0184594294770206</v>
      </c>
      <c r="AE36" s="1">
        <v>0.578727180527383</v>
      </c>
      <c r="AF36" s="1">
        <v>2012</v>
      </c>
      <c r="AG36" s="1">
        <v>0.611474</v>
      </c>
      <c r="AH36" s="2">
        <v>5.85536</v>
      </c>
      <c r="AI36" s="1">
        <v>121.783088235294</v>
      </c>
      <c r="AJ36" s="1">
        <v>15.1394686278407</v>
      </c>
      <c r="AK36" s="1">
        <v>14.0071458850603</v>
      </c>
      <c r="AL36" s="1">
        <v>15.1816632770846</v>
      </c>
      <c r="AM36" s="1">
        <v>11.8274653254077</v>
      </c>
      <c r="AN36" s="1">
        <v>923</v>
      </c>
      <c r="AO36" s="1">
        <v>0.07400072</v>
      </c>
      <c r="AP36" s="1">
        <v>0.03207415</v>
      </c>
      <c r="AQ36" s="1">
        <v>0.05048188</v>
      </c>
      <c r="AR36" s="1">
        <v>0</v>
      </c>
      <c r="AS36" s="1">
        <v>0</v>
      </c>
      <c r="AT36" s="1">
        <v>0</v>
      </c>
      <c r="AU36" s="1">
        <v>0.00809107</v>
      </c>
      <c r="AV36" s="1">
        <v>0.0537076</v>
      </c>
      <c r="AW36" s="1">
        <v>0.02319344</v>
      </c>
      <c r="AX36" s="1">
        <v>0.01956384</v>
      </c>
      <c r="AY36" s="1">
        <v>0.03757701</v>
      </c>
      <c r="AZ36" s="1">
        <v>99265</v>
      </c>
      <c r="BA36" s="1">
        <v>145.181</v>
      </c>
      <c r="BB36" s="1">
        <f t="shared" si="1"/>
        <v>11.5055483206312</v>
      </c>
      <c r="BC36" s="1">
        <v>0.000243</v>
      </c>
      <c r="BD36" s="1">
        <v>1768.16</v>
      </c>
      <c r="BE36" s="1">
        <v>1.70212304592133</v>
      </c>
      <c r="BF36" s="1">
        <v>2889.8741367</v>
      </c>
      <c r="BG36" s="1">
        <v>91.1753</v>
      </c>
      <c r="BH36" s="1">
        <v>30664.8538</v>
      </c>
      <c r="BI36" s="1">
        <f t="shared" si="2"/>
        <v>10.3308724503983</v>
      </c>
      <c r="BJ36" s="1">
        <v>16.15295</v>
      </c>
      <c r="BK36" s="1">
        <v>265472.9</v>
      </c>
      <c r="BL36" s="1">
        <v>121.783088235294</v>
      </c>
      <c r="BM36" s="1">
        <v>923568</v>
      </c>
      <c r="BN36" s="1">
        <v>6570000</v>
      </c>
      <c r="BO36" s="1">
        <v>0.1406</v>
      </c>
      <c r="BP36" s="1">
        <v>2.684283</v>
      </c>
      <c r="BQ36" s="1">
        <v>121.78309</v>
      </c>
      <c r="BR36" s="1">
        <v>103077</v>
      </c>
      <c r="BS36" s="3">
        <v>4700000</v>
      </c>
    </row>
    <row r="37" spans="1:71">
      <c r="A37" s="1" t="s">
        <v>73</v>
      </c>
      <c r="B37" s="1">
        <v>3</v>
      </c>
      <c r="C37" s="1">
        <v>114.127</v>
      </c>
      <c r="D37" s="1">
        <v>22.6546</v>
      </c>
      <c r="E37" s="1">
        <v>2022</v>
      </c>
      <c r="F37" s="1">
        <v>0.99638130441104</v>
      </c>
      <c r="G37" s="1">
        <v>7.10262812937597</v>
      </c>
      <c r="H37" s="1">
        <v>5.85640444231249</v>
      </c>
      <c r="I37" s="1">
        <v>5.94935264888411</v>
      </c>
      <c r="J37" s="1">
        <v>5.7033289855122</v>
      </c>
      <c r="K37" s="1">
        <v>5.79063866146556</v>
      </c>
      <c r="L37" s="1">
        <v>0.1969176</v>
      </c>
      <c r="M37" s="1">
        <v>10.7863778485344</v>
      </c>
      <c r="N37" s="1">
        <v>8.358432</v>
      </c>
      <c r="O37" s="1">
        <v>12.1187430360917</v>
      </c>
      <c r="P37" s="1">
        <v>348.465359483345</v>
      </c>
      <c r="Q37" s="1">
        <v>382.504996295205</v>
      </c>
      <c r="R37" s="1">
        <v>298.863984112804</v>
      </c>
      <c r="S37" s="1">
        <v>326.22194168615</v>
      </c>
      <c r="T37" s="1">
        <v>306.1199</v>
      </c>
      <c r="U37" s="1">
        <v>48356.56</v>
      </c>
      <c r="V37" s="1">
        <v>4265</v>
      </c>
      <c r="W37" s="1">
        <v>183274</v>
      </c>
      <c r="X37" s="1">
        <v>1.13430532365455</v>
      </c>
      <c r="Y37" s="1">
        <v>29.96</v>
      </c>
      <c r="Z37" s="1">
        <v>0.383</v>
      </c>
      <c r="AA37" s="1">
        <v>9.08751333978506</v>
      </c>
      <c r="AB37" s="1">
        <f t="shared" si="0"/>
        <v>2.20690131078539</v>
      </c>
      <c r="AC37" s="1">
        <v>6.14616046355574</v>
      </c>
      <c r="AD37" s="1">
        <v>0.0297785714285714</v>
      </c>
      <c r="AE37" s="1">
        <v>0.895058778552996</v>
      </c>
      <c r="AF37" s="1">
        <v>1285</v>
      </c>
      <c r="AG37" s="1">
        <v>0.617316</v>
      </c>
      <c r="AH37" s="2">
        <v>5.72724</v>
      </c>
      <c r="AI37" s="1">
        <v>121.783088235294</v>
      </c>
      <c r="AJ37" s="1">
        <v>15.1394686278407</v>
      </c>
      <c r="AK37" s="1">
        <v>14.0071458850603</v>
      </c>
      <c r="AL37" s="1">
        <v>15.1816632770846</v>
      </c>
      <c r="AM37" s="1">
        <v>11.8274653254077</v>
      </c>
      <c r="AN37" s="1">
        <v>923</v>
      </c>
      <c r="AO37" s="1">
        <v>0.07400072</v>
      </c>
      <c r="AP37" s="1">
        <v>0.03207415</v>
      </c>
      <c r="AQ37" s="1">
        <v>0.05048188</v>
      </c>
      <c r="AR37" s="1">
        <v>0</v>
      </c>
      <c r="AS37" s="1">
        <v>0</v>
      </c>
      <c r="AT37" s="1">
        <v>0</v>
      </c>
      <c r="AU37" s="1">
        <v>0.00809107</v>
      </c>
      <c r="AV37" s="1">
        <v>0.0537076</v>
      </c>
      <c r="AW37" s="1">
        <v>0.02319344</v>
      </c>
      <c r="AX37" s="1">
        <v>0.01956384</v>
      </c>
      <c r="AY37" s="1">
        <v>0.03757701</v>
      </c>
      <c r="AZ37" s="1">
        <v>92237</v>
      </c>
      <c r="BA37" s="1">
        <v>155.264</v>
      </c>
      <c r="BB37" s="1">
        <f t="shared" si="1"/>
        <v>11.4321166305632</v>
      </c>
      <c r="BC37" s="1">
        <v>0.00074</v>
      </c>
      <c r="BD37" s="1">
        <v>1766.18</v>
      </c>
      <c r="BE37" s="1">
        <v>1.60857649524424</v>
      </c>
      <c r="BF37" s="1">
        <v>195407.7858172</v>
      </c>
      <c r="BG37" s="1">
        <v>80.44563</v>
      </c>
      <c r="BH37" s="1">
        <v>32387.68</v>
      </c>
      <c r="BI37" s="1">
        <f t="shared" si="2"/>
        <v>10.3855333825546</v>
      </c>
      <c r="BJ37" s="1">
        <v>16.15295</v>
      </c>
      <c r="BK37" s="1">
        <v>277004.6</v>
      </c>
      <c r="BL37" s="1">
        <v>121.783088235294</v>
      </c>
      <c r="BM37" s="1">
        <v>923568</v>
      </c>
      <c r="BN37" s="1">
        <v>6570000</v>
      </c>
      <c r="BO37" s="1">
        <v>0.1406</v>
      </c>
      <c r="BP37" s="1">
        <v>2.684283</v>
      </c>
      <c r="BQ37" s="1">
        <v>121.78309</v>
      </c>
      <c r="BR37" s="1">
        <v>103077</v>
      </c>
      <c r="BS37" s="3">
        <v>4700000</v>
      </c>
    </row>
    <row r="38" spans="1:71">
      <c r="A38" s="1" t="s">
        <v>74</v>
      </c>
      <c r="B38" s="1">
        <v>4</v>
      </c>
      <c r="C38" s="1">
        <v>113.357</v>
      </c>
      <c r="D38" s="1">
        <v>22.1701</v>
      </c>
      <c r="E38" s="1">
        <v>2011</v>
      </c>
      <c r="F38" s="1">
        <v>0.274413594971633</v>
      </c>
      <c r="G38" s="1">
        <v>7.06793404277684</v>
      </c>
      <c r="H38" s="1">
        <v>4.37298589002173</v>
      </c>
      <c r="I38" s="1">
        <v>4.50568128748734</v>
      </c>
      <c r="J38" s="1">
        <v>4.27304847210413</v>
      </c>
      <c r="K38" s="1">
        <v>4.02213222810817</v>
      </c>
      <c r="L38" s="1">
        <v>-1.043144</v>
      </c>
      <c r="M38" s="1">
        <v>6.02434307567392</v>
      </c>
      <c r="N38" s="1">
        <v>3.3672957</v>
      </c>
      <c r="O38" s="1">
        <v>11.4052845734528</v>
      </c>
      <c r="P38" s="1">
        <v>78.28</v>
      </c>
      <c r="Q38" s="1">
        <v>89.53</v>
      </c>
      <c r="R38" s="1">
        <v>70.74</v>
      </c>
      <c r="S38" s="1">
        <v>54.82</v>
      </c>
      <c r="T38" s="1">
        <v>58.39</v>
      </c>
      <c r="U38" s="1">
        <v>412.37</v>
      </c>
      <c r="V38" s="1">
        <v>28</v>
      </c>
      <c r="W38" s="1">
        <v>89794</v>
      </c>
      <c r="X38" s="1">
        <v>2.37354076898764</v>
      </c>
      <c r="Y38" s="1">
        <v>7.96</v>
      </c>
      <c r="Z38" s="1">
        <v>0.544099999964411</v>
      </c>
      <c r="AA38" s="1">
        <v>6.82022307141542</v>
      </c>
      <c r="AB38" s="1">
        <f t="shared" si="0"/>
        <v>1.91989217973915</v>
      </c>
      <c r="AC38" s="1">
        <v>3.28715199791022</v>
      </c>
      <c r="AD38" s="1">
        <v>0.110332075471698</v>
      </c>
      <c r="AE38" s="1">
        <v>0.638783269961977</v>
      </c>
      <c r="AF38" s="1">
        <v>20</v>
      </c>
      <c r="AG38" s="1">
        <v>0.32953</v>
      </c>
      <c r="AH38" s="2">
        <v>4.08413</v>
      </c>
      <c r="AI38" s="1">
        <v>154.352226720648</v>
      </c>
      <c r="AJ38" s="1">
        <v>2.49939039258717</v>
      </c>
      <c r="AK38" s="1">
        <v>2.27457351746547</v>
      </c>
      <c r="AL38" s="1">
        <v>3.61607142857143</v>
      </c>
      <c r="AM38" s="1">
        <v>3.2494872071683</v>
      </c>
      <c r="AN38" s="1">
        <v>338</v>
      </c>
      <c r="AO38" s="1">
        <v>0.05497844</v>
      </c>
      <c r="AP38" s="1">
        <v>0.03516062</v>
      </c>
      <c r="AQ38" s="1">
        <v>0.04111433</v>
      </c>
      <c r="AR38" s="1">
        <v>0.07454293</v>
      </c>
      <c r="AS38" s="1">
        <v>0.03635747</v>
      </c>
      <c r="AT38" s="1">
        <v>0.05761901</v>
      </c>
      <c r="AU38" s="1">
        <v>0.00866758</v>
      </c>
      <c r="AV38" s="1">
        <v>0</v>
      </c>
      <c r="AW38" s="1">
        <v>0.02179049</v>
      </c>
      <c r="AX38" s="1">
        <v>0.02850373</v>
      </c>
      <c r="AY38" s="1">
        <v>0.0516751</v>
      </c>
      <c r="AZ38" s="1">
        <v>2222</v>
      </c>
      <c r="BA38" s="1">
        <v>116.952</v>
      </c>
      <c r="BB38" s="1">
        <f t="shared" si="1"/>
        <v>7.70616297019958</v>
      </c>
      <c r="BC38" s="1">
        <v>0.000514</v>
      </c>
      <c r="BD38" s="1">
        <v>106</v>
      </c>
      <c r="BE38" s="1">
        <v>0.790115356445312</v>
      </c>
      <c r="BF38" s="1">
        <v>-12.652353</v>
      </c>
      <c r="BG38" s="1">
        <v>0.899801</v>
      </c>
      <c r="BH38" s="1">
        <v>1460.067928</v>
      </c>
      <c r="BI38" s="1">
        <f t="shared" si="2"/>
        <v>7.28623823964748</v>
      </c>
      <c r="BJ38" s="1">
        <v>13.5293</v>
      </c>
      <c r="BK38" s="1">
        <v>52071.1</v>
      </c>
      <c r="BL38" s="1">
        <v>154.352226720648</v>
      </c>
      <c r="BM38" s="1">
        <v>215682</v>
      </c>
      <c r="BN38" s="1">
        <v>1230000</v>
      </c>
      <c r="BO38" s="1">
        <v>0.1754</v>
      </c>
      <c r="BP38" s="1">
        <v>1.138664</v>
      </c>
      <c r="BQ38" s="1">
        <v>154.35223</v>
      </c>
      <c r="BR38" s="1">
        <v>43724.7</v>
      </c>
      <c r="BS38" s="3">
        <v>5900000</v>
      </c>
    </row>
    <row r="39" spans="1:71">
      <c r="A39" s="1" t="s">
        <v>74</v>
      </c>
      <c r="B39" s="1">
        <v>4</v>
      </c>
      <c r="C39" s="1">
        <v>113.357</v>
      </c>
      <c r="D39" s="1">
        <v>22.1701</v>
      </c>
      <c r="E39" s="1">
        <v>2012</v>
      </c>
      <c r="F39" s="1">
        <v>0.279073416237857</v>
      </c>
      <c r="G39" s="1">
        <v>6.94120257433236</v>
      </c>
      <c r="H39" s="1">
        <v>4.85686232070671</v>
      </c>
      <c r="I39" s="1">
        <v>4.99396375980828</v>
      </c>
      <c r="J39" s="1">
        <v>4.68656582419208</v>
      </c>
      <c r="K39" s="1">
        <v>4.63288262455462</v>
      </c>
      <c r="L39" s="1">
        <v>-1.043144</v>
      </c>
      <c r="M39" s="1">
        <v>7.29865482241098</v>
      </c>
      <c r="N39" s="1">
        <v>3.1354942</v>
      </c>
      <c r="O39" s="1">
        <v>11.4665882897618</v>
      </c>
      <c r="P39" s="1">
        <v>127.62</v>
      </c>
      <c r="Q39" s="1">
        <v>146.52</v>
      </c>
      <c r="R39" s="1">
        <v>107.48</v>
      </c>
      <c r="S39" s="1">
        <v>101.81</v>
      </c>
      <c r="T39" s="1">
        <v>64.18</v>
      </c>
      <c r="U39" s="1">
        <v>1477.31</v>
      </c>
      <c r="V39" s="1">
        <v>22</v>
      </c>
      <c r="W39" s="1">
        <v>95471</v>
      </c>
      <c r="X39" s="1">
        <v>1.91757127739841</v>
      </c>
      <c r="Y39" s="1">
        <v>10.76</v>
      </c>
      <c r="Z39" s="1">
        <v>0.5163000000266</v>
      </c>
      <c r="AA39" s="1">
        <v>6.82217717093359</v>
      </c>
      <c r="AB39" s="1">
        <f t="shared" si="0"/>
        <v>1.92017865418599</v>
      </c>
      <c r="AC39" s="1">
        <v>3.2358964922825</v>
      </c>
      <c r="AD39" s="1">
        <v>0.115577861163227</v>
      </c>
      <c r="AE39" s="1">
        <v>1.06969990319458</v>
      </c>
      <c r="AF39" s="1">
        <v>27</v>
      </c>
      <c r="AG39" s="1">
        <v>0.377792</v>
      </c>
      <c r="AH39" s="2">
        <v>4.17715</v>
      </c>
      <c r="AI39" s="1">
        <v>154.352226720648</v>
      </c>
      <c r="AJ39" s="1">
        <v>2.49939039258717</v>
      </c>
      <c r="AK39" s="1">
        <v>2.27457351746547</v>
      </c>
      <c r="AL39" s="1">
        <v>3.61607142857143</v>
      </c>
      <c r="AM39" s="1">
        <v>3.2494872071683</v>
      </c>
      <c r="AN39" s="1">
        <v>338</v>
      </c>
      <c r="AO39" s="1">
        <v>0.05497844</v>
      </c>
      <c r="AP39" s="1">
        <v>0.03516062</v>
      </c>
      <c r="AQ39" s="1">
        <v>0.04111433</v>
      </c>
      <c r="AR39" s="1">
        <v>0.07454293</v>
      </c>
      <c r="AS39" s="1">
        <v>0.03635747</v>
      </c>
      <c r="AT39" s="1">
        <v>0.05761901</v>
      </c>
      <c r="AU39" s="1">
        <v>0.00866758</v>
      </c>
      <c r="AV39" s="1">
        <v>0</v>
      </c>
      <c r="AW39" s="1">
        <v>0.02179049</v>
      </c>
      <c r="AX39" s="1">
        <v>0.02850373</v>
      </c>
      <c r="AY39" s="1">
        <v>0.0516751</v>
      </c>
      <c r="AZ39" s="1">
        <v>3302</v>
      </c>
      <c r="BA39" s="1">
        <v>123.206</v>
      </c>
      <c r="BB39" s="1">
        <f t="shared" si="1"/>
        <v>8.10228362448007</v>
      </c>
      <c r="BC39" s="1">
        <v>0.00149</v>
      </c>
      <c r="BD39" s="1">
        <v>106.6</v>
      </c>
      <c r="BE39" s="1">
        <v>0.88669353723526</v>
      </c>
      <c r="BF39" s="1">
        <v>-6.58761</v>
      </c>
      <c r="BG39" s="1">
        <v>0.51817</v>
      </c>
      <c r="BH39" s="1">
        <v>1583.663214</v>
      </c>
      <c r="BI39" s="1">
        <f t="shared" si="2"/>
        <v>7.36749593234384</v>
      </c>
      <c r="BJ39" s="1">
        <v>13.5293</v>
      </c>
      <c r="BK39" s="1">
        <v>58424.85</v>
      </c>
      <c r="BL39" s="1">
        <v>154.352226720648</v>
      </c>
      <c r="BM39" s="1">
        <v>215682</v>
      </c>
      <c r="BN39" s="1">
        <v>1230000</v>
      </c>
      <c r="BO39" s="1">
        <v>0.1754</v>
      </c>
      <c r="BP39" s="1">
        <v>1.138664</v>
      </c>
      <c r="BQ39" s="1">
        <v>154.35223</v>
      </c>
      <c r="BR39" s="1">
        <v>43724.7</v>
      </c>
      <c r="BS39" s="3">
        <v>5900000</v>
      </c>
    </row>
    <row r="40" spans="1:71">
      <c r="A40" s="1" t="s">
        <v>74</v>
      </c>
      <c r="B40" s="1">
        <v>4</v>
      </c>
      <c r="C40" s="1">
        <v>113.357</v>
      </c>
      <c r="D40" s="1">
        <v>22.1701</v>
      </c>
      <c r="E40" s="1">
        <v>2013</v>
      </c>
      <c r="F40" s="1">
        <v>0.282582024938149</v>
      </c>
      <c r="G40" s="1">
        <v>6.96527942021344</v>
      </c>
      <c r="H40" s="1">
        <v>5.13644528662149</v>
      </c>
      <c r="I40" s="1">
        <v>5.17631920973718</v>
      </c>
      <c r="J40" s="1">
        <v>5.04568063583905</v>
      </c>
      <c r="K40" s="1">
        <v>5.15962984677414</v>
      </c>
      <c r="L40" s="1">
        <v>-1.043144</v>
      </c>
      <c r="M40" s="1">
        <v>6.63988890563652</v>
      </c>
      <c r="N40" s="1">
        <v>3.637586</v>
      </c>
      <c r="O40" s="1">
        <v>11.5596849973732</v>
      </c>
      <c r="P40" s="1">
        <v>169.11</v>
      </c>
      <c r="Q40" s="1">
        <v>176.03</v>
      </c>
      <c r="R40" s="1">
        <v>154.35</v>
      </c>
      <c r="S40" s="1">
        <v>173.1</v>
      </c>
      <c r="T40" s="1">
        <v>84.54</v>
      </c>
      <c r="U40" s="1">
        <v>764.01</v>
      </c>
      <c r="V40" s="1">
        <v>37</v>
      </c>
      <c r="W40" s="1">
        <v>104786</v>
      </c>
      <c r="X40" s="1">
        <v>2.01807239362317</v>
      </c>
      <c r="Y40" s="1">
        <v>2.43</v>
      </c>
      <c r="Z40" s="1">
        <v>0.510700000006015</v>
      </c>
      <c r="AA40" s="1">
        <v>6.86606589994877</v>
      </c>
      <c r="AB40" s="1">
        <f t="shared" si="0"/>
        <v>1.9265912930012</v>
      </c>
      <c r="AC40" s="1">
        <v>3.52769316827718</v>
      </c>
      <c r="AD40" s="1">
        <v>0.117048802946593</v>
      </c>
      <c r="AE40" s="1">
        <v>0.962106803218727</v>
      </c>
      <c r="AF40" s="1">
        <v>25</v>
      </c>
      <c r="AG40" s="1">
        <v>0.332706</v>
      </c>
      <c r="AH40" s="2">
        <v>4.44898</v>
      </c>
      <c r="AI40" s="1">
        <v>154.352226720648</v>
      </c>
      <c r="AJ40" s="1">
        <v>2.49939039258717</v>
      </c>
      <c r="AK40" s="1">
        <v>2.27457351746547</v>
      </c>
      <c r="AL40" s="1">
        <v>3.61607142857143</v>
      </c>
      <c r="AM40" s="1">
        <v>3.2494872071683</v>
      </c>
      <c r="AN40" s="1">
        <v>338</v>
      </c>
      <c r="AO40" s="1">
        <v>0.05497844</v>
      </c>
      <c r="AP40" s="1">
        <v>0.03516062</v>
      </c>
      <c r="AQ40" s="1">
        <v>0.04111433</v>
      </c>
      <c r="AR40" s="1">
        <v>0.07454293</v>
      </c>
      <c r="AS40" s="1">
        <v>0.03635747</v>
      </c>
      <c r="AT40" s="1">
        <v>0.05761901</v>
      </c>
      <c r="AU40" s="1">
        <v>0.00866758</v>
      </c>
      <c r="AV40" s="1">
        <v>0</v>
      </c>
      <c r="AW40" s="1">
        <v>0.02179049</v>
      </c>
      <c r="AX40" s="1">
        <v>0.02850373</v>
      </c>
      <c r="AY40" s="1">
        <v>0.0516751</v>
      </c>
      <c r="AZ40" s="1">
        <v>3689</v>
      </c>
      <c r="BA40" s="1">
        <v>127</v>
      </c>
      <c r="BB40" s="1">
        <f t="shared" si="1"/>
        <v>8.21311069759668</v>
      </c>
      <c r="BC40" s="1">
        <v>0.0005</v>
      </c>
      <c r="BD40" s="1">
        <v>108.6</v>
      </c>
      <c r="BE40" s="1">
        <v>0.90718275308609</v>
      </c>
      <c r="BF40" s="1">
        <v>-4.69237</v>
      </c>
      <c r="BG40" s="1">
        <v>1.286892</v>
      </c>
      <c r="BH40" s="1">
        <v>1780.865993</v>
      </c>
      <c r="BI40" s="1">
        <f t="shared" si="2"/>
        <v>7.48485503789844</v>
      </c>
      <c r="BJ40" s="1">
        <v>13.5293</v>
      </c>
      <c r="BK40" s="1">
        <v>64220.65</v>
      </c>
      <c r="BL40" s="1">
        <v>154.352226720648</v>
      </c>
      <c r="BM40" s="1">
        <v>215682</v>
      </c>
      <c r="BN40" s="1">
        <v>1230000</v>
      </c>
      <c r="BO40" s="1">
        <v>0.1754</v>
      </c>
      <c r="BP40" s="1">
        <v>1.138664</v>
      </c>
      <c r="BQ40" s="1">
        <v>154.35223</v>
      </c>
      <c r="BR40" s="1">
        <v>43724.7</v>
      </c>
      <c r="BS40" s="3">
        <v>5900000</v>
      </c>
    </row>
    <row r="41" spans="1:71">
      <c r="A41" s="1" t="s">
        <v>74</v>
      </c>
      <c r="B41" s="1">
        <v>4</v>
      </c>
      <c r="C41" s="1">
        <v>113.357</v>
      </c>
      <c r="D41" s="1">
        <v>22.1701</v>
      </c>
      <c r="E41" s="1">
        <v>2014</v>
      </c>
      <c r="F41" s="1">
        <v>0.296664913456622</v>
      </c>
      <c r="G41" s="1">
        <v>7.25750759935863</v>
      </c>
      <c r="H41" s="1">
        <v>5.21335842732084</v>
      </c>
      <c r="I41" s="1">
        <v>5.34046648005619</v>
      </c>
      <c r="J41" s="1">
        <v>4.96494033483412</v>
      </c>
      <c r="K41" s="1">
        <v>5.16432872654472</v>
      </c>
      <c r="L41" s="1">
        <v>-1.043144</v>
      </c>
      <c r="M41" s="1">
        <v>7.16245175944939</v>
      </c>
      <c r="N41" s="1">
        <v>3.9318256</v>
      </c>
      <c r="O41" s="1">
        <v>11.6659726790601</v>
      </c>
      <c r="P41" s="1">
        <v>182.71</v>
      </c>
      <c r="Q41" s="1">
        <v>207.61</v>
      </c>
      <c r="R41" s="1">
        <v>142.3</v>
      </c>
      <c r="S41" s="1">
        <v>173.92</v>
      </c>
      <c r="T41" s="1">
        <v>92.41</v>
      </c>
      <c r="U41" s="1">
        <v>1289.07</v>
      </c>
      <c r="V41" s="1">
        <v>50</v>
      </c>
      <c r="W41" s="1">
        <v>116537</v>
      </c>
      <c r="X41" s="1">
        <v>1.80903848725552</v>
      </c>
      <c r="Y41" s="1">
        <v>12.07</v>
      </c>
      <c r="Z41" s="1">
        <v>0.502699999983933</v>
      </c>
      <c r="AA41" s="1">
        <v>6.84194758464877</v>
      </c>
      <c r="AB41" s="1">
        <f t="shared" si="0"/>
        <v>1.92307242570303</v>
      </c>
      <c r="AC41" s="1">
        <v>3.7472481043806</v>
      </c>
      <c r="AD41" s="1">
        <v>0.11978221415608</v>
      </c>
      <c r="AE41" s="1">
        <v>0.644885966139639</v>
      </c>
      <c r="AF41" s="1">
        <v>19</v>
      </c>
      <c r="AG41" s="1">
        <v>0.353872</v>
      </c>
      <c r="AH41" s="2">
        <v>4.537</v>
      </c>
      <c r="AI41" s="1">
        <v>154.352226720648</v>
      </c>
      <c r="AJ41" s="1">
        <v>2.49939039258717</v>
      </c>
      <c r="AK41" s="1">
        <v>2.27457351746547</v>
      </c>
      <c r="AL41" s="1">
        <v>3.61607142857143</v>
      </c>
      <c r="AM41" s="1">
        <v>3.2494872071683</v>
      </c>
      <c r="AN41" s="1">
        <v>338</v>
      </c>
      <c r="AO41" s="1">
        <v>0.05497844</v>
      </c>
      <c r="AP41" s="1">
        <v>0.03516062</v>
      </c>
      <c r="AQ41" s="1">
        <v>0.04111433</v>
      </c>
      <c r="AR41" s="1">
        <v>0.07454293</v>
      </c>
      <c r="AS41" s="1">
        <v>0.03635747</v>
      </c>
      <c r="AT41" s="1">
        <v>0.05761901</v>
      </c>
      <c r="AU41" s="1">
        <v>0.00866758</v>
      </c>
      <c r="AV41" s="1">
        <v>0</v>
      </c>
      <c r="AW41" s="1">
        <v>0.02179049</v>
      </c>
      <c r="AX41" s="1">
        <v>0.02850373</v>
      </c>
      <c r="AY41" s="1">
        <v>0.0516751</v>
      </c>
      <c r="AZ41" s="1">
        <v>4235</v>
      </c>
      <c r="BA41" s="1">
        <v>132</v>
      </c>
      <c r="BB41" s="1">
        <f t="shared" si="1"/>
        <v>8.35113860708615</v>
      </c>
      <c r="BC41" s="1">
        <v>0.000424</v>
      </c>
      <c r="BD41" s="1">
        <v>186.32</v>
      </c>
      <c r="BE41" s="1">
        <v>0.942310750484467</v>
      </c>
      <c r="BF41" s="1">
        <v>-11.54162</v>
      </c>
      <c r="BG41" s="1">
        <v>3.185827</v>
      </c>
      <c r="BH41" s="1">
        <v>2008.856333</v>
      </c>
      <c r="BI41" s="1">
        <f t="shared" si="2"/>
        <v>7.60532085056049</v>
      </c>
      <c r="BJ41" s="1">
        <v>13.5293</v>
      </c>
      <c r="BK41" s="1">
        <v>70321.61</v>
      </c>
      <c r="BL41" s="1">
        <v>154.352226720648</v>
      </c>
      <c r="BM41" s="1">
        <v>215682</v>
      </c>
      <c r="BN41" s="1">
        <v>1230000</v>
      </c>
      <c r="BO41" s="1">
        <v>0.1754</v>
      </c>
      <c r="BP41" s="1">
        <v>1.138664</v>
      </c>
      <c r="BQ41" s="1">
        <v>154.35223</v>
      </c>
      <c r="BR41" s="1">
        <v>43724.7</v>
      </c>
      <c r="BS41" s="3">
        <v>5900000</v>
      </c>
    </row>
    <row r="42" spans="1:71">
      <c r="A42" s="1" t="s">
        <v>74</v>
      </c>
      <c r="B42" s="1">
        <v>4</v>
      </c>
      <c r="C42" s="1">
        <v>113.357</v>
      </c>
      <c r="D42" s="1">
        <v>22.1701</v>
      </c>
      <c r="E42" s="1">
        <v>2015</v>
      </c>
      <c r="F42" s="1">
        <v>0.314692369776666</v>
      </c>
      <c r="G42" s="1">
        <v>7.2615291482702</v>
      </c>
      <c r="H42" s="1">
        <v>5.36490067069118</v>
      </c>
      <c r="I42" s="1">
        <v>5.44548658976465</v>
      </c>
      <c r="J42" s="1">
        <v>5.12491590712864</v>
      </c>
      <c r="K42" s="1">
        <v>5.46974648217556</v>
      </c>
      <c r="L42" s="1">
        <v>-1.043144</v>
      </c>
      <c r="M42" s="1">
        <v>7.78852659942687</v>
      </c>
      <c r="N42" s="1">
        <v>4.1271343</v>
      </c>
      <c r="O42" s="1">
        <v>11.7337222648159</v>
      </c>
      <c r="P42" s="1">
        <v>212.77</v>
      </c>
      <c r="Q42" s="1">
        <v>230.71</v>
      </c>
      <c r="R42" s="1">
        <v>167.16</v>
      </c>
      <c r="S42" s="1">
        <v>236.4</v>
      </c>
      <c r="T42" s="1">
        <v>88.83</v>
      </c>
      <c r="U42" s="1">
        <v>2411.76</v>
      </c>
      <c r="V42" s="1">
        <v>61</v>
      </c>
      <c r="W42" s="1">
        <v>124706</v>
      </c>
      <c r="X42" s="1">
        <v>1.46169338165472</v>
      </c>
      <c r="Y42" s="1">
        <v>7.27</v>
      </c>
      <c r="Z42" s="1">
        <v>0.497299999985188</v>
      </c>
      <c r="AA42" s="1">
        <v>6.99901569912954</v>
      </c>
      <c r="AB42" s="1">
        <f t="shared" si="0"/>
        <v>1.94576952475811</v>
      </c>
      <c r="AC42" s="1">
        <v>3.95290166030985</v>
      </c>
      <c r="AD42" s="1">
        <v>0.117385504668742</v>
      </c>
      <c r="AE42" s="1">
        <v>0.71298224734702</v>
      </c>
      <c r="AF42" s="1">
        <v>62</v>
      </c>
      <c r="AG42" s="1">
        <v>0.36603</v>
      </c>
      <c r="AH42" s="2">
        <v>4.49792</v>
      </c>
      <c r="AI42" s="1">
        <v>154.352226720648</v>
      </c>
      <c r="AJ42" s="1">
        <v>2.49939039258717</v>
      </c>
      <c r="AK42" s="1">
        <v>2.27457351746547</v>
      </c>
      <c r="AL42" s="1">
        <v>3.61607142857143</v>
      </c>
      <c r="AM42" s="1">
        <v>3.2494872071683</v>
      </c>
      <c r="AN42" s="1">
        <v>338</v>
      </c>
      <c r="AO42" s="1">
        <v>0.05497844</v>
      </c>
      <c r="AP42" s="1">
        <v>0.03516062</v>
      </c>
      <c r="AQ42" s="1">
        <v>0.04111433</v>
      </c>
      <c r="AR42" s="1">
        <v>0.07454293</v>
      </c>
      <c r="AS42" s="1">
        <v>0.03635747</v>
      </c>
      <c r="AT42" s="1">
        <v>0.05761901</v>
      </c>
      <c r="AU42" s="1">
        <v>0.00866758</v>
      </c>
      <c r="AV42" s="1">
        <v>0</v>
      </c>
      <c r="AW42" s="1">
        <v>0.02179049</v>
      </c>
      <c r="AX42" s="1">
        <v>0.02850373</v>
      </c>
      <c r="AY42" s="1">
        <v>0.0516751</v>
      </c>
      <c r="AZ42" s="1">
        <v>6291</v>
      </c>
      <c r="BA42" s="1">
        <v>132</v>
      </c>
      <c r="BB42" s="1">
        <f t="shared" si="1"/>
        <v>8.74687531957003</v>
      </c>
      <c r="BC42" s="1">
        <v>0.000507</v>
      </c>
      <c r="BD42" s="1">
        <v>189.75</v>
      </c>
      <c r="BE42" s="1">
        <v>1.07747662067413</v>
      </c>
      <c r="BF42" s="1">
        <v>8.48916</v>
      </c>
      <c r="BG42" s="1">
        <v>3.872623</v>
      </c>
      <c r="BH42" s="1">
        <v>2216.536618</v>
      </c>
      <c r="BI42" s="1">
        <f t="shared" si="2"/>
        <v>7.70370117468929</v>
      </c>
      <c r="BJ42" s="1">
        <v>13.5293</v>
      </c>
      <c r="BK42" s="1">
        <v>73870.83</v>
      </c>
      <c r="BL42" s="1">
        <v>154.352226720648</v>
      </c>
      <c r="BM42" s="1">
        <v>215682</v>
      </c>
      <c r="BN42" s="1">
        <v>1230000</v>
      </c>
      <c r="BO42" s="1">
        <v>0.1754</v>
      </c>
      <c r="BP42" s="1">
        <v>1.138664</v>
      </c>
      <c r="BQ42" s="1">
        <v>154.35223</v>
      </c>
      <c r="BR42" s="1">
        <v>43724.7</v>
      </c>
      <c r="BS42" s="3">
        <v>5900000</v>
      </c>
    </row>
    <row r="43" spans="1:71">
      <c r="A43" s="1" t="s">
        <v>74</v>
      </c>
      <c r="B43" s="1">
        <v>4</v>
      </c>
      <c r="C43" s="1">
        <v>113.357</v>
      </c>
      <c r="D43" s="1">
        <v>22.1701</v>
      </c>
      <c r="E43" s="1">
        <v>2016</v>
      </c>
      <c r="F43" s="1">
        <v>0.337752311649815</v>
      </c>
      <c r="G43" s="1">
        <v>7.27332496108949</v>
      </c>
      <c r="H43" s="1">
        <v>5.46847156492757</v>
      </c>
      <c r="I43" s="1">
        <v>5.49340590787414</v>
      </c>
      <c r="J43" s="1">
        <v>5.37035684627416</v>
      </c>
      <c r="K43" s="1">
        <v>5.55144765648711</v>
      </c>
      <c r="L43" s="1">
        <v>-1.043144</v>
      </c>
      <c r="M43" s="1">
        <v>8.54909294082202</v>
      </c>
      <c r="N43" s="1">
        <v>4.4426513</v>
      </c>
      <c r="O43" s="1">
        <v>11.8096688593624</v>
      </c>
      <c r="P43" s="1">
        <v>236.097527542741</v>
      </c>
      <c r="Q43" s="1">
        <v>242.083719325276</v>
      </c>
      <c r="R43" s="1">
        <v>213.939554380174</v>
      </c>
      <c r="S43" s="1">
        <v>256.610217163706</v>
      </c>
      <c r="T43" s="1">
        <v>92.44</v>
      </c>
      <c r="U43" s="1">
        <v>5161.07</v>
      </c>
      <c r="V43" s="1">
        <v>84</v>
      </c>
      <c r="W43" s="1">
        <v>134546</v>
      </c>
      <c r="X43" s="1">
        <v>1.23656849973059</v>
      </c>
      <c r="Y43" s="1">
        <v>2.16</v>
      </c>
      <c r="Z43" s="1">
        <v>0.485</v>
      </c>
      <c r="AA43" s="1">
        <v>7.03132089606147</v>
      </c>
      <c r="AB43" s="1">
        <f t="shared" si="0"/>
        <v>1.95037458234927</v>
      </c>
      <c r="AC43" s="1">
        <v>4.31405563709334</v>
      </c>
      <c r="AD43" s="1">
        <v>0.11619652173913</v>
      </c>
      <c r="AE43" s="1">
        <v>0.635399838449112</v>
      </c>
      <c r="AF43" s="1">
        <v>65</v>
      </c>
      <c r="AG43" s="1">
        <v>0.411984</v>
      </c>
      <c r="AH43" s="2">
        <v>4.53732</v>
      </c>
      <c r="AI43" s="1">
        <v>154.352226720648</v>
      </c>
      <c r="AJ43" s="1">
        <v>2.49939039258717</v>
      </c>
      <c r="AK43" s="1">
        <v>2.27457351746547</v>
      </c>
      <c r="AL43" s="1">
        <v>3.61607142857143</v>
      </c>
      <c r="AM43" s="1">
        <v>3.2494872071683</v>
      </c>
      <c r="AN43" s="1">
        <v>338</v>
      </c>
      <c r="AO43" s="1">
        <v>0.05497844</v>
      </c>
      <c r="AP43" s="1">
        <v>0.03516062</v>
      </c>
      <c r="AQ43" s="1">
        <v>0.04111433</v>
      </c>
      <c r="AR43" s="1">
        <v>0.07454293</v>
      </c>
      <c r="AS43" s="1">
        <v>0.03635747</v>
      </c>
      <c r="AT43" s="1">
        <v>0.05761901</v>
      </c>
      <c r="AU43" s="1">
        <v>0.00866758</v>
      </c>
      <c r="AV43" s="1">
        <v>0</v>
      </c>
      <c r="AW43" s="1">
        <v>0.02179049</v>
      </c>
      <c r="AX43" s="1">
        <v>0.02850373</v>
      </c>
      <c r="AY43" s="1">
        <v>0.0516751</v>
      </c>
      <c r="AZ43" s="1">
        <v>8363</v>
      </c>
      <c r="BA43" s="1">
        <v>133.6</v>
      </c>
      <c r="BB43" s="1">
        <f t="shared" si="1"/>
        <v>9.03157249338153</v>
      </c>
      <c r="BC43" s="1">
        <v>0.000862</v>
      </c>
      <c r="BD43" s="1">
        <v>195.98</v>
      </c>
      <c r="BE43" s="1">
        <v>1.15170168876648</v>
      </c>
      <c r="BF43" s="1">
        <v>77.91998</v>
      </c>
      <c r="BG43" s="1">
        <v>4.374387</v>
      </c>
      <c r="BH43" s="1">
        <v>2452.609802</v>
      </c>
      <c r="BI43" s="1">
        <f t="shared" si="2"/>
        <v>7.804907961895</v>
      </c>
      <c r="BJ43" s="1">
        <v>13.5293</v>
      </c>
      <c r="BK43" s="1">
        <v>78369.69</v>
      </c>
      <c r="BL43" s="1">
        <v>154.352226720648</v>
      </c>
      <c r="BM43" s="1">
        <v>215682</v>
      </c>
      <c r="BN43" s="1">
        <v>1230000</v>
      </c>
      <c r="BO43" s="1">
        <v>0.1754</v>
      </c>
      <c r="BP43" s="1">
        <v>1.138664</v>
      </c>
      <c r="BQ43" s="1">
        <v>154.35223</v>
      </c>
      <c r="BR43" s="1">
        <v>43724.7</v>
      </c>
      <c r="BS43" s="3">
        <v>5900000</v>
      </c>
    </row>
    <row r="44" spans="1:71">
      <c r="A44" s="1" t="s">
        <v>74</v>
      </c>
      <c r="B44" s="1">
        <v>4</v>
      </c>
      <c r="C44" s="1">
        <v>113.357</v>
      </c>
      <c r="D44" s="1">
        <v>22.1701</v>
      </c>
      <c r="E44" s="1">
        <v>2017</v>
      </c>
      <c r="F44" s="1">
        <v>0.369453290700102</v>
      </c>
      <c r="G44" s="1">
        <v>7.063206195421</v>
      </c>
      <c r="H44" s="1">
        <v>5.59168257770612</v>
      </c>
      <c r="I44" s="1">
        <v>5.56308205001095</v>
      </c>
      <c r="J44" s="1">
        <v>5.63950034482534</v>
      </c>
      <c r="K44" s="1">
        <v>5.5958321895496</v>
      </c>
      <c r="L44" s="1">
        <v>-1.043144</v>
      </c>
      <c r="M44" s="1">
        <v>9.91898386211799</v>
      </c>
      <c r="N44" s="1">
        <v>4.9904327</v>
      </c>
      <c r="O44" s="1">
        <v>11.9544203030198</v>
      </c>
      <c r="P44" s="1">
        <v>267.186484871126</v>
      </c>
      <c r="Q44" s="1">
        <v>259.624858552976</v>
      </c>
      <c r="R44" s="1">
        <v>280.32211926759</v>
      </c>
      <c r="S44" s="1">
        <v>268.3016669297</v>
      </c>
      <c r="T44" s="1">
        <v>95.9933</v>
      </c>
      <c r="U44" s="1">
        <v>20311.34</v>
      </c>
      <c r="V44" s="1">
        <v>146</v>
      </c>
      <c r="W44" s="1">
        <v>155502</v>
      </c>
      <c r="X44" s="1">
        <v>1.11772686655232</v>
      </c>
      <c r="Y44" s="1">
        <v>13.22</v>
      </c>
      <c r="Z44" s="4">
        <v>0.4925</v>
      </c>
      <c r="AA44" s="1">
        <v>7.08381688371149</v>
      </c>
      <c r="AB44" s="1">
        <f t="shared" si="0"/>
        <v>1.95781287030804</v>
      </c>
      <c r="AC44" s="1">
        <v>4.18902985762264</v>
      </c>
      <c r="AD44" s="1">
        <v>0.114982352941176</v>
      </c>
      <c r="AE44" s="1">
        <v>0.625739816641523</v>
      </c>
      <c r="AF44" s="1">
        <v>120</v>
      </c>
      <c r="AG44" s="1">
        <v>0.442742</v>
      </c>
      <c r="AH44" s="2">
        <v>4.57464</v>
      </c>
      <c r="AI44" s="1">
        <v>154.352226720648</v>
      </c>
      <c r="AJ44" s="1">
        <v>2.49939039258717</v>
      </c>
      <c r="AK44" s="1">
        <v>2.27457351746547</v>
      </c>
      <c r="AL44" s="1">
        <v>3.61607142857143</v>
      </c>
      <c r="AM44" s="1">
        <v>3.2494872071683</v>
      </c>
      <c r="AN44" s="1">
        <v>338</v>
      </c>
      <c r="AO44" s="1">
        <v>0.05497844</v>
      </c>
      <c r="AP44" s="1">
        <v>0.03516062</v>
      </c>
      <c r="AQ44" s="1">
        <v>0.04111433</v>
      </c>
      <c r="AR44" s="1">
        <v>0.07454293</v>
      </c>
      <c r="AS44" s="1">
        <v>0.03635747</v>
      </c>
      <c r="AT44" s="1">
        <v>0.05761901</v>
      </c>
      <c r="AU44" s="1">
        <v>0.00866758</v>
      </c>
      <c r="AV44" s="1">
        <v>0</v>
      </c>
      <c r="AW44" s="1">
        <v>0.02179049</v>
      </c>
      <c r="AX44" s="1">
        <v>0.02850373</v>
      </c>
      <c r="AY44" s="1">
        <v>0.0516751</v>
      </c>
      <c r="AZ44" s="1">
        <v>10445</v>
      </c>
      <c r="BA44" s="1">
        <v>136.8</v>
      </c>
      <c r="BB44" s="1">
        <f t="shared" si="1"/>
        <v>9.25387867399067</v>
      </c>
      <c r="BC44" s="1">
        <v>0.00131</v>
      </c>
      <c r="BD44" s="1">
        <v>207.02</v>
      </c>
      <c r="BE44" s="1">
        <v>1.226278424263</v>
      </c>
      <c r="BF44" s="1">
        <v>419.75114</v>
      </c>
      <c r="BG44" s="1">
        <v>6.295571</v>
      </c>
      <c r="BH44" s="1">
        <v>2943.830897</v>
      </c>
      <c r="BI44" s="1">
        <f t="shared" si="2"/>
        <v>7.98746703832132</v>
      </c>
      <c r="BJ44" s="1">
        <v>13.5293</v>
      </c>
      <c r="BK44" s="1">
        <v>83264.8</v>
      </c>
      <c r="BL44" s="1">
        <v>154.352226720648</v>
      </c>
      <c r="BM44" s="1">
        <v>215682</v>
      </c>
      <c r="BN44" s="1">
        <v>1230000</v>
      </c>
      <c r="BO44" s="1">
        <v>0.1754</v>
      </c>
      <c r="BP44" s="1">
        <v>1.138664</v>
      </c>
      <c r="BQ44" s="1">
        <v>154.35223</v>
      </c>
      <c r="BR44" s="1">
        <v>43724.7</v>
      </c>
      <c r="BS44" s="3">
        <v>5900000</v>
      </c>
    </row>
    <row r="45" spans="1:71">
      <c r="A45" s="1" t="s">
        <v>74</v>
      </c>
      <c r="B45" s="1">
        <v>4</v>
      </c>
      <c r="C45" s="1">
        <v>113.357</v>
      </c>
      <c r="D45" s="1">
        <v>22.1701</v>
      </c>
      <c r="E45" s="1">
        <v>2018</v>
      </c>
      <c r="F45" s="1">
        <v>0.372558383217629</v>
      </c>
      <c r="G45" s="1">
        <v>7.1333393601791</v>
      </c>
      <c r="H45" s="1">
        <v>5.6321077960513</v>
      </c>
      <c r="I45" s="1">
        <v>5.62984852505198</v>
      </c>
      <c r="J45" s="1">
        <v>5.61819165401663</v>
      </c>
      <c r="K45" s="1">
        <v>5.66421220612222</v>
      </c>
      <c r="L45" s="1">
        <v>-1.043144</v>
      </c>
      <c r="M45" s="1">
        <v>8.87389793491095</v>
      </c>
      <c r="N45" s="1">
        <v>5.2574954</v>
      </c>
      <c r="O45" s="1">
        <v>11.9793539610365</v>
      </c>
      <c r="P45" s="1">
        <v>278.25009997094</v>
      </c>
      <c r="Q45" s="1">
        <v>277.619910501494</v>
      </c>
      <c r="R45" s="1">
        <v>274.390930558616</v>
      </c>
      <c r="S45" s="1">
        <v>287.360722840181</v>
      </c>
      <c r="T45" s="1">
        <v>97.6034</v>
      </c>
      <c r="U45" s="1">
        <v>7142.07</v>
      </c>
      <c r="V45" s="1">
        <v>191</v>
      </c>
      <c r="W45" s="1">
        <v>159428</v>
      </c>
      <c r="X45" s="1">
        <v>1.11374790504111</v>
      </c>
      <c r="Y45" s="1">
        <v>11.39</v>
      </c>
      <c r="Z45" s="1">
        <v>0.4919</v>
      </c>
      <c r="AA45" s="1">
        <v>7.14871158718196</v>
      </c>
      <c r="AB45" s="1">
        <f t="shared" si="0"/>
        <v>1.96693214287145</v>
      </c>
      <c r="AC45" s="1">
        <v>4.21997317080283</v>
      </c>
      <c r="AD45" s="1">
        <v>0.109414960629921</v>
      </c>
      <c r="AE45" s="1">
        <v>0.733483039829807</v>
      </c>
      <c r="AF45" s="1">
        <v>144</v>
      </c>
      <c r="AG45" s="1">
        <v>0.391172</v>
      </c>
      <c r="AH45" s="2">
        <v>4.59111</v>
      </c>
      <c r="AI45" s="1">
        <v>154.352226720648</v>
      </c>
      <c r="AJ45" s="1">
        <v>2.49939039258717</v>
      </c>
      <c r="AK45" s="1">
        <v>2.27457351746547</v>
      </c>
      <c r="AL45" s="1">
        <v>3.61607142857143</v>
      </c>
      <c r="AM45" s="1">
        <v>3.2494872071683</v>
      </c>
      <c r="AN45" s="1">
        <v>338</v>
      </c>
      <c r="AO45" s="1">
        <v>0.05497844</v>
      </c>
      <c r="AP45" s="1">
        <v>0.03516062</v>
      </c>
      <c r="AQ45" s="1">
        <v>0.04111433</v>
      </c>
      <c r="AR45" s="1">
        <v>0.07454293</v>
      </c>
      <c r="AS45" s="1">
        <v>0.03635747</v>
      </c>
      <c r="AT45" s="1">
        <v>0.05761901</v>
      </c>
      <c r="AU45" s="1">
        <v>0.00866758</v>
      </c>
      <c r="AV45" s="1">
        <v>0</v>
      </c>
      <c r="AW45" s="1">
        <v>0.02179049</v>
      </c>
      <c r="AX45" s="1">
        <v>0.02850373</v>
      </c>
      <c r="AY45" s="1">
        <v>0.0516751</v>
      </c>
      <c r="AZ45" s="1">
        <v>14429</v>
      </c>
      <c r="BA45" s="1">
        <v>138.957</v>
      </c>
      <c r="BB45" s="1">
        <f t="shared" si="1"/>
        <v>9.57699534929726</v>
      </c>
      <c r="BC45" s="1">
        <v>0.00142</v>
      </c>
      <c r="BD45" s="1">
        <v>220.9</v>
      </c>
      <c r="BE45" s="1">
        <v>1.17992186546326</v>
      </c>
      <c r="BF45" s="1">
        <v>29.84202</v>
      </c>
      <c r="BG45" s="1">
        <v>5.92297</v>
      </c>
      <c r="BH45" s="1">
        <v>3216.7798</v>
      </c>
      <c r="BI45" s="1">
        <f t="shared" si="2"/>
        <v>8.07613607603089</v>
      </c>
      <c r="BJ45" s="1">
        <v>13.5293</v>
      </c>
      <c r="BK45" s="1">
        <v>87902.58</v>
      </c>
      <c r="BL45" s="1">
        <v>154.352226720648</v>
      </c>
      <c r="BM45" s="1">
        <v>215682</v>
      </c>
      <c r="BN45" s="1">
        <v>1230000</v>
      </c>
      <c r="BO45" s="1">
        <v>0.1754</v>
      </c>
      <c r="BP45" s="1">
        <v>1.138664</v>
      </c>
      <c r="BQ45" s="1">
        <v>154.35223</v>
      </c>
      <c r="BR45" s="1">
        <v>43724.7</v>
      </c>
      <c r="BS45" s="3">
        <v>5900000</v>
      </c>
    </row>
    <row r="46" spans="1:71">
      <c r="A46" s="1" t="s">
        <v>74</v>
      </c>
      <c r="B46" s="1">
        <v>4</v>
      </c>
      <c r="C46" s="1">
        <v>113.357</v>
      </c>
      <c r="D46" s="1">
        <v>22.1701</v>
      </c>
      <c r="E46" s="1">
        <v>2019</v>
      </c>
      <c r="F46" s="1">
        <v>0.408934644570223</v>
      </c>
      <c r="G46" s="1">
        <v>7.0826862785967</v>
      </c>
      <c r="H46" s="1">
        <v>5.67619897063794</v>
      </c>
      <c r="I46" s="1">
        <v>5.68706314570655</v>
      </c>
      <c r="J46" s="1">
        <v>5.64760984900267</v>
      </c>
      <c r="K46" s="1">
        <v>5.69129195657082</v>
      </c>
      <c r="L46" s="1">
        <v>-1.043144</v>
      </c>
      <c r="M46" s="1">
        <v>10.7444955301625</v>
      </c>
      <c r="N46" s="1">
        <v>5.0689044</v>
      </c>
      <c r="O46" s="1">
        <v>12.0755891291227</v>
      </c>
      <c r="P46" s="1">
        <v>290.838034129654</v>
      </c>
      <c r="Q46" s="1">
        <v>294.025898967428</v>
      </c>
      <c r="R46" s="1">
        <v>282.612777673652</v>
      </c>
      <c r="S46" s="1">
        <v>295.276149368939</v>
      </c>
      <c r="T46" s="1">
        <v>99.7364</v>
      </c>
      <c r="U46" s="1">
        <v>46373.06</v>
      </c>
      <c r="V46" s="1">
        <v>158</v>
      </c>
      <c r="W46" s="1">
        <v>175533.192</v>
      </c>
      <c r="X46" s="1">
        <v>0.846517486737849</v>
      </c>
      <c r="Y46" s="1">
        <v>14.16</v>
      </c>
      <c r="Z46" s="1">
        <v>0.4449</v>
      </c>
      <c r="AA46" s="1">
        <v>7.20281216426103</v>
      </c>
      <c r="AB46" s="1">
        <f t="shared" si="0"/>
        <v>1.97447152813572</v>
      </c>
      <c r="AC46" s="1">
        <v>4.35615149940771</v>
      </c>
      <c r="AD46" s="1">
        <v>0.10473007518797</v>
      </c>
      <c r="AE46" s="1">
        <v>0.769848531056216</v>
      </c>
      <c r="AF46" s="1">
        <v>71</v>
      </c>
      <c r="AG46" s="1">
        <v>0.405834</v>
      </c>
      <c r="AH46" s="2">
        <v>4.61251</v>
      </c>
      <c r="AI46" s="1">
        <v>154.352226720648</v>
      </c>
      <c r="AJ46" s="1">
        <v>2.49939039258717</v>
      </c>
      <c r="AK46" s="1">
        <v>2.27457351746547</v>
      </c>
      <c r="AL46" s="1">
        <v>3.61607142857143</v>
      </c>
      <c r="AM46" s="1">
        <v>3.2494872071683</v>
      </c>
      <c r="AN46" s="1">
        <v>338</v>
      </c>
      <c r="AO46" s="1">
        <v>0.05497844</v>
      </c>
      <c r="AP46" s="1">
        <v>0.03516062</v>
      </c>
      <c r="AQ46" s="1">
        <v>0.04111433</v>
      </c>
      <c r="AR46" s="1">
        <v>0.07454293</v>
      </c>
      <c r="AS46" s="1">
        <v>0.03635747</v>
      </c>
      <c r="AT46" s="1">
        <v>0.05761901</v>
      </c>
      <c r="AU46" s="1">
        <v>0.00866758</v>
      </c>
      <c r="AV46" s="1">
        <v>0</v>
      </c>
      <c r="AW46" s="1">
        <v>0.02179049</v>
      </c>
      <c r="AX46" s="1">
        <v>0.02850373</v>
      </c>
      <c r="AY46" s="1">
        <v>0.0516751</v>
      </c>
      <c r="AZ46" s="1">
        <v>15464</v>
      </c>
      <c r="BA46" s="1">
        <v>139.3291</v>
      </c>
      <c r="BB46" s="1">
        <f t="shared" si="1"/>
        <v>9.64627002088817</v>
      </c>
      <c r="BC46" s="1">
        <v>9.72e-5</v>
      </c>
      <c r="BD46" s="1">
        <v>233.18</v>
      </c>
      <c r="BE46" s="1">
        <v>1.2279440164566</v>
      </c>
      <c r="BF46" s="1">
        <v>0.85979</v>
      </c>
      <c r="BG46" s="1">
        <v>4.464203</v>
      </c>
      <c r="BH46" s="1">
        <v>3444.2343</v>
      </c>
      <c r="BI46" s="1">
        <f t="shared" si="2"/>
        <v>8.14445689459248</v>
      </c>
      <c r="BJ46" s="1">
        <v>13.5293</v>
      </c>
      <c r="BK46" s="1">
        <v>94339.45</v>
      </c>
      <c r="BL46" s="1">
        <v>154.352226720648</v>
      </c>
      <c r="BM46" s="1">
        <v>215682</v>
      </c>
      <c r="BN46" s="1">
        <v>1230000</v>
      </c>
      <c r="BO46" s="1">
        <v>0.1754</v>
      </c>
      <c r="BP46" s="1">
        <v>1.138664</v>
      </c>
      <c r="BQ46" s="1">
        <v>154.35223</v>
      </c>
      <c r="BR46" s="1">
        <v>43724.7</v>
      </c>
      <c r="BS46" s="3">
        <v>5900000</v>
      </c>
    </row>
    <row r="47" spans="1:71">
      <c r="A47" s="1" t="s">
        <v>74</v>
      </c>
      <c r="B47" s="1">
        <v>4</v>
      </c>
      <c r="C47" s="1">
        <v>113.357</v>
      </c>
      <c r="D47" s="1">
        <v>22.1701</v>
      </c>
      <c r="E47" s="1">
        <v>2020</v>
      </c>
      <c r="F47" s="1">
        <v>0.37860904594998</v>
      </c>
      <c r="G47" s="1">
        <v>7.17215970168006</v>
      </c>
      <c r="H47" s="1">
        <v>5.70591406287363</v>
      </c>
      <c r="I47" s="1">
        <v>5.72678267478596</v>
      </c>
      <c r="J47" s="1">
        <v>5.67503846582366</v>
      </c>
      <c r="K47" s="1">
        <v>5.69148821163236</v>
      </c>
      <c r="L47" s="1">
        <v>-1.043144</v>
      </c>
      <c r="M47" s="1">
        <v>8.40555076357763</v>
      </c>
      <c r="N47" s="1">
        <v>5.159055</v>
      </c>
      <c r="O47" s="1">
        <v>11.8889355801018</v>
      </c>
      <c r="P47" s="1">
        <v>299.640158536107</v>
      </c>
      <c r="Q47" s="1">
        <v>305.980023340367</v>
      </c>
      <c r="R47" s="1">
        <v>290.499551109249</v>
      </c>
      <c r="S47" s="1">
        <v>295.334300844507</v>
      </c>
      <c r="T47" s="1">
        <v>40.62</v>
      </c>
      <c r="U47" s="1">
        <v>4470.82</v>
      </c>
      <c r="V47" s="1">
        <v>173</v>
      </c>
      <c r="W47" s="1">
        <v>145645.1866</v>
      </c>
      <c r="X47" s="1">
        <v>0.784879002061926</v>
      </c>
      <c r="Y47" s="1">
        <v>8.36</v>
      </c>
      <c r="Z47" s="1">
        <v>0.4339</v>
      </c>
      <c r="AA47" s="1">
        <v>7.25209640866526</v>
      </c>
      <c r="AB47" s="1">
        <f t="shared" si="0"/>
        <v>1.98129058688384</v>
      </c>
      <c r="AC47" s="1">
        <v>4.91380683093431</v>
      </c>
      <c r="AD47" s="1">
        <v>0.102333096085409</v>
      </c>
      <c r="AE47" s="1">
        <v>0.74209160412429</v>
      </c>
      <c r="AF47" s="1">
        <v>127</v>
      </c>
      <c r="AG47" s="1">
        <v>0.40152</v>
      </c>
      <c r="AH47" s="2">
        <v>3.72858</v>
      </c>
      <c r="AI47" s="1">
        <v>154.352226720648</v>
      </c>
      <c r="AJ47" s="1">
        <v>2.49939039258717</v>
      </c>
      <c r="AK47" s="1">
        <v>2.27457351746547</v>
      </c>
      <c r="AL47" s="1">
        <v>3.61607142857143</v>
      </c>
      <c r="AM47" s="1">
        <v>3.2494872071683</v>
      </c>
      <c r="AN47" s="1">
        <v>338</v>
      </c>
      <c r="AO47" s="1">
        <v>0.05497844</v>
      </c>
      <c r="AP47" s="1">
        <v>0.03516062</v>
      </c>
      <c r="AQ47" s="1">
        <v>0.04111433</v>
      </c>
      <c r="AR47" s="1">
        <v>0.07454293</v>
      </c>
      <c r="AS47" s="1">
        <v>0.03635747</v>
      </c>
      <c r="AT47" s="1">
        <v>0.05761901</v>
      </c>
      <c r="AU47" s="1">
        <v>0.00866758</v>
      </c>
      <c r="AV47" s="1">
        <v>0</v>
      </c>
      <c r="AW47" s="1">
        <v>0.02179049</v>
      </c>
      <c r="AX47" s="1">
        <v>0.02850373</v>
      </c>
      <c r="AY47" s="1">
        <v>0.0516751</v>
      </c>
      <c r="AZ47" s="1">
        <v>15552</v>
      </c>
      <c r="BA47" s="1">
        <v>143.778</v>
      </c>
      <c r="BB47" s="1">
        <f t="shared" si="1"/>
        <v>9.65194452670022</v>
      </c>
      <c r="BC47" s="1">
        <v>0.00016</v>
      </c>
      <c r="BD47" s="1">
        <v>244.96</v>
      </c>
      <c r="BE47" s="1">
        <v>1.26487874984741</v>
      </c>
      <c r="BF47" s="1">
        <v>68.62974</v>
      </c>
      <c r="BG47" s="1">
        <v>2.847977</v>
      </c>
      <c r="BH47" s="1">
        <v>3481.9395</v>
      </c>
      <c r="BI47" s="1">
        <f t="shared" si="2"/>
        <v>8.15534474510539</v>
      </c>
      <c r="BJ47" s="1">
        <v>13.5293</v>
      </c>
      <c r="BK47" s="1">
        <v>97241.91</v>
      </c>
      <c r="BL47" s="1">
        <v>154.352226720648</v>
      </c>
      <c r="BM47" s="1">
        <v>215682</v>
      </c>
      <c r="BN47" s="1">
        <v>1230000</v>
      </c>
      <c r="BO47" s="1">
        <v>0.1754</v>
      </c>
      <c r="BP47" s="1">
        <v>1.138664</v>
      </c>
      <c r="BQ47" s="1">
        <v>154.35223</v>
      </c>
      <c r="BR47" s="1">
        <v>43724.7</v>
      </c>
      <c r="BS47" s="3">
        <v>5900000</v>
      </c>
    </row>
    <row r="48" spans="1:71">
      <c r="A48" s="1" t="s">
        <v>74</v>
      </c>
      <c r="B48" s="1">
        <v>4</v>
      </c>
      <c r="C48" s="1">
        <v>113.357</v>
      </c>
      <c r="D48" s="1">
        <v>22.1701</v>
      </c>
      <c r="E48" s="1">
        <v>2021</v>
      </c>
      <c r="F48" s="1">
        <v>0.402540510109145</v>
      </c>
      <c r="G48" s="1">
        <v>7.19244162321759</v>
      </c>
      <c r="H48" s="1">
        <v>5.78262951950204</v>
      </c>
      <c r="I48" s="1">
        <v>5.82544034366232</v>
      </c>
      <c r="J48" s="1">
        <v>5.73428157222195</v>
      </c>
      <c r="K48" s="1">
        <v>5.72223890800448</v>
      </c>
      <c r="L48" s="1">
        <v>-1.043144</v>
      </c>
      <c r="M48" s="1">
        <v>9.05818985715124</v>
      </c>
      <c r="N48" s="1">
        <v>5.814131</v>
      </c>
      <c r="O48" s="1">
        <v>11.6774219142861</v>
      </c>
      <c r="P48" s="1">
        <v>323.611641796557</v>
      </c>
      <c r="Q48" s="1">
        <v>337.810293179657</v>
      </c>
      <c r="R48" s="1">
        <v>308.290687920427</v>
      </c>
      <c r="S48" s="1">
        <v>304.588341751511</v>
      </c>
      <c r="T48" s="1">
        <v>41.2779</v>
      </c>
      <c r="U48" s="1">
        <v>8587.59</v>
      </c>
      <c r="V48" s="1">
        <v>334</v>
      </c>
      <c r="W48" s="1">
        <v>117878.9384</v>
      </c>
      <c r="X48" s="1">
        <v>0.855174561520068</v>
      </c>
      <c r="Y48" s="1">
        <v>13.44</v>
      </c>
      <c r="Z48" s="1">
        <v>0.4191</v>
      </c>
      <c r="AA48" s="1">
        <v>7.2590528877082</v>
      </c>
      <c r="AB48" s="1">
        <f t="shared" si="0"/>
        <v>1.98224936408801</v>
      </c>
      <c r="AC48" s="1">
        <v>4.86344129938055</v>
      </c>
      <c r="AD48" s="1">
        <v>0.0931162162162162</v>
      </c>
      <c r="AE48" s="1">
        <v>0.68722664573287</v>
      </c>
      <c r="AF48" s="1">
        <v>186</v>
      </c>
      <c r="AG48" s="1">
        <v>0.424104</v>
      </c>
      <c r="AH48" s="2">
        <v>3.74426</v>
      </c>
      <c r="AI48" s="1">
        <v>154.352226720648</v>
      </c>
      <c r="AJ48" s="1">
        <v>2.49939039258717</v>
      </c>
      <c r="AK48" s="1">
        <v>2.27457351746547</v>
      </c>
      <c r="AL48" s="1">
        <v>3.61607142857143</v>
      </c>
      <c r="AM48" s="1">
        <v>3.2494872071683</v>
      </c>
      <c r="AN48" s="1">
        <v>338</v>
      </c>
      <c r="AO48" s="1">
        <v>0.05497844</v>
      </c>
      <c r="AP48" s="1">
        <v>0.03516062</v>
      </c>
      <c r="AQ48" s="1">
        <v>0.04111433</v>
      </c>
      <c r="AR48" s="1">
        <v>0.07454293</v>
      </c>
      <c r="AS48" s="1">
        <v>0.03635747</v>
      </c>
      <c r="AT48" s="1">
        <v>0.05761901</v>
      </c>
      <c r="AU48" s="1">
        <v>0.00866758</v>
      </c>
      <c r="AV48" s="1">
        <v>0</v>
      </c>
      <c r="AW48" s="1">
        <v>0.02179049</v>
      </c>
      <c r="AX48" s="1">
        <v>0.02850373</v>
      </c>
      <c r="AY48" s="1">
        <v>0.0516751</v>
      </c>
      <c r="AZ48" s="1">
        <v>15387</v>
      </c>
      <c r="BA48" s="1">
        <v>137.812</v>
      </c>
      <c r="BB48" s="1">
        <f t="shared" si="1"/>
        <v>9.64127827605738</v>
      </c>
      <c r="BC48" s="1">
        <v>0.000641</v>
      </c>
      <c r="BD48" s="1">
        <v>246.67</v>
      </c>
      <c r="BE48" s="1">
        <v>1.35134243965149</v>
      </c>
      <c r="BF48" s="1">
        <v>5869.870874</v>
      </c>
      <c r="BG48" s="1">
        <v>2.162042</v>
      </c>
      <c r="BH48" s="1">
        <v>3881.7512</v>
      </c>
      <c r="BI48" s="1">
        <f t="shared" si="2"/>
        <v>8.26404167100015</v>
      </c>
      <c r="BJ48" s="1">
        <v>13.5293</v>
      </c>
      <c r="BK48" s="1">
        <v>112612.7</v>
      </c>
      <c r="BL48" s="1">
        <v>154.352226720648</v>
      </c>
      <c r="BM48" s="1">
        <v>215682</v>
      </c>
      <c r="BN48" s="1">
        <v>1230000</v>
      </c>
      <c r="BO48" s="1">
        <v>0.1754</v>
      </c>
      <c r="BP48" s="1">
        <v>1.138664</v>
      </c>
      <c r="BQ48" s="1">
        <v>154.35223</v>
      </c>
      <c r="BR48" s="1">
        <v>43724.7</v>
      </c>
      <c r="BS48" s="3">
        <v>5900000</v>
      </c>
    </row>
    <row r="49" spans="1:71">
      <c r="A49" s="1" t="s">
        <v>74</v>
      </c>
      <c r="B49" s="1">
        <v>4</v>
      </c>
      <c r="C49" s="1">
        <v>113.357</v>
      </c>
      <c r="D49" s="1">
        <v>22.1701</v>
      </c>
      <c r="E49" s="1">
        <v>2022</v>
      </c>
      <c r="F49" s="1">
        <v>0.398464608957827</v>
      </c>
      <c r="G49" s="1">
        <v>6.77623236082174</v>
      </c>
      <c r="H49" s="1">
        <v>5.80317963047561</v>
      </c>
      <c r="I49" s="1">
        <v>5.89122921578207</v>
      </c>
      <c r="J49" s="1">
        <v>5.65610703564974</v>
      </c>
      <c r="K49" s="1">
        <v>5.74625936116702</v>
      </c>
      <c r="L49" s="1">
        <v>-1.043144</v>
      </c>
      <c r="M49" s="1">
        <v>7.90085148433684</v>
      </c>
      <c r="N49" s="1">
        <v>5.817111</v>
      </c>
      <c r="O49" s="1">
        <v>12.005796872076</v>
      </c>
      <c r="P49" s="1">
        <v>330.351461863949</v>
      </c>
      <c r="Q49" s="1">
        <v>360.849802557611</v>
      </c>
      <c r="R49" s="1">
        <v>285.032956188018</v>
      </c>
      <c r="S49" s="1">
        <v>312.017581913123</v>
      </c>
      <c r="T49" s="1">
        <v>40.0782</v>
      </c>
      <c r="U49" s="1">
        <v>2698.58</v>
      </c>
      <c r="V49" s="1">
        <v>335</v>
      </c>
      <c r="W49" s="1">
        <v>163700</v>
      </c>
      <c r="X49" s="1">
        <v>0.754797910553271</v>
      </c>
      <c r="Y49" s="1">
        <v>11.36</v>
      </c>
      <c r="Z49" s="1">
        <v>0.4469</v>
      </c>
      <c r="AA49" s="1">
        <v>7.26330055282575</v>
      </c>
      <c r="AB49" s="1">
        <f t="shared" si="0"/>
        <v>1.98283434712896</v>
      </c>
      <c r="AC49" s="1">
        <v>5.32732041896809</v>
      </c>
      <c r="AD49" s="1">
        <v>0.0894122580645161</v>
      </c>
      <c r="AE49" s="1">
        <v>0.880550458715596</v>
      </c>
      <c r="AF49" s="1">
        <v>182</v>
      </c>
      <c r="AG49" s="1">
        <v>0.48594</v>
      </c>
      <c r="AH49" s="2">
        <v>3.71548</v>
      </c>
      <c r="AI49" s="1">
        <v>154.352226720648</v>
      </c>
      <c r="AJ49" s="1">
        <v>2.49939039258717</v>
      </c>
      <c r="AK49" s="1">
        <v>2.27457351746547</v>
      </c>
      <c r="AL49" s="1">
        <v>3.61607142857143</v>
      </c>
      <c r="AM49" s="1">
        <v>3.2494872071683</v>
      </c>
      <c r="AN49" s="1">
        <v>338</v>
      </c>
      <c r="AO49" s="1">
        <v>0.05497844</v>
      </c>
      <c r="AP49" s="1">
        <v>0.03516062</v>
      </c>
      <c r="AQ49" s="1">
        <v>0.04111433</v>
      </c>
      <c r="AR49" s="1">
        <v>0.07454293</v>
      </c>
      <c r="AS49" s="1">
        <v>0.03635747</v>
      </c>
      <c r="AT49" s="1">
        <v>0.05761901</v>
      </c>
      <c r="AU49" s="1">
        <v>0.00866758</v>
      </c>
      <c r="AV49" s="1">
        <v>0</v>
      </c>
      <c r="AW49" s="1">
        <v>0.02179049</v>
      </c>
      <c r="AX49" s="1">
        <v>0.02850373</v>
      </c>
      <c r="AY49" s="1">
        <v>0.0516751</v>
      </c>
      <c r="AZ49" s="1">
        <v>13931</v>
      </c>
      <c r="BA49" s="1">
        <v>138.589</v>
      </c>
      <c r="BB49" s="1">
        <f t="shared" si="1"/>
        <v>9.54187185170622</v>
      </c>
      <c r="BC49" s="1">
        <v>0.000265</v>
      </c>
      <c r="BD49" s="1">
        <v>247.72</v>
      </c>
      <c r="BE49" s="1">
        <v>1.20396221406132</v>
      </c>
      <c r="BF49" s="1">
        <v>347876.100042</v>
      </c>
      <c r="BG49" s="1">
        <v>1.098313</v>
      </c>
      <c r="BH49" s="1">
        <v>4045.45</v>
      </c>
      <c r="BI49" s="1">
        <f t="shared" si="2"/>
        <v>8.30534807175983</v>
      </c>
      <c r="BJ49" s="1">
        <v>13.5293</v>
      </c>
      <c r="BK49" s="1">
        <v>117504.4</v>
      </c>
      <c r="BL49" s="1">
        <v>154.352226720648</v>
      </c>
      <c r="BM49" s="1">
        <v>215682</v>
      </c>
      <c r="BN49" s="1">
        <v>1230000</v>
      </c>
      <c r="BO49" s="1">
        <v>0.1754</v>
      </c>
      <c r="BP49" s="1">
        <v>1.138664</v>
      </c>
      <c r="BQ49" s="1">
        <v>154.35223</v>
      </c>
      <c r="BR49" s="1">
        <v>43724.7</v>
      </c>
      <c r="BS49" s="3">
        <v>5900000</v>
      </c>
    </row>
    <row r="50" spans="1:71">
      <c r="A50" s="1" t="s">
        <v>75</v>
      </c>
      <c r="B50" s="1">
        <v>5</v>
      </c>
      <c r="C50" s="1">
        <v>116.583</v>
      </c>
      <c r="D50" s="1">
        <v>23.3334</v>
      </c>
      <c r="E50" s="1">
        <v>2011</v>
      </c>
      <c r="F50" s="1">
        <v>0.338131053256789</v>
      </c>
      <c r="G50" s="1">
        <v>7.22043597890427</v>
      </c>
      <c r="H50" s="1">
        <v>4.23352662635543</v>
      </c>
      <c r="I50" s="1">
        <v>4.09317721447009</v>
      </c>
      <c r="J50" s="1">
        <v>4.4404134603736</v>
      </c>
      <c r="K50" s="1">
        <v>4.2479236501504</v>
      </c>
      <c r="L50" s="1">
        <v>-0.1781786</v>
      </c>
      <c r="M50" s="1">
        <v>6.12251473909849</v>
      </c>
      <c r="N50" s="1">
        <v>1.9459102</v>
      </c>
      <c r="O50" s="1">
        <v>10.0688748642893</v>
      </c>
      <c r="P50" s="1">
        <v>67.96</v>
      </c>
      <c r="Q50" s="1">
        <v>58.93</v>
      </c>
      <c r="R50" s="1">
        <v>83.81</v>
      </c>
      <c r="S50" s="1">
        <v>68.96</v>
      </c>
      <c r="T50" s="1">
        <v>27.7</v>
      </c>
      <c r="U50" s="1">
        <v>455.01</v>
      </c>
      <c r="V50" s="1">
        <v>6</v>
      </c>
      <c r="W50" s="1">
        <v>23596</v>
      </c>
      <c r="X50" s="1">
        <v>0.44492946149266</v>
      </c>
      <c r="Y50" s="1">
        <v>7.06</v>
      </c>
      <c r="Z50" s="1">
        <v>0.509300000031354</v>
      </c>
      <c r="AA50" s="1">
        <v>7.87267004827063</v>
      </c>
      <c r="AB50" s="1">
        <f t="shared" si="0"/>
        <v>2.06339727404819</v>
      </c>
      <c r="AC50" s="1">
        <v>2.12989052952119</v>
      </c>
      <c r="AD50" s="1">
        <v>0.00177030600680015</v>
      </c>
      <c r="AE50" s="1">
        <v>0.847948951686417</v>
      </c>
      <c r="AF50" s="1">
        <v>7</v>
      </c>
      <c r="AG50" s="1">
        <v>0.341496</v>
      </c>
      <c r="AH50" s="2">
        <v>3.3569</v>
      </c>
      <c r="AI50" s="1">
        <v>38.3782346012083</v>
      </c>
      <c r="AJ50" s="1">
        <v>0.0866622647738528</v>
      </c>
      <c r="AK50" s="1">
        <v>0.311782080735149</v>
      </c>
      <c r="AL50" s="1">
        <v>0.394878788495593</v>
      </c>
      <c r="AM50" s="1">
        <v>0.559200565256889</v>
      </c>
      <c r="AN50" s="1">
        <v>1256</v>
      </c>
      <c r="AO50" s="1">
        <v>0.02348301</v>
      </c>
      <c r="AP50" s="1">
        <v>0.05424502</v>
      </c>
      <c r="AQ50" s="1">
        <v>0.02709305</v>
      </c>
      <c r="AR50" s="1">
        <v>0.02737158</v>
      </c>
      <c r="AS50" s="1">
        <v>0.05371671</v>
      </c>
      <c r="AT50" s="1">
        <v>0.031259</v>
      </c>
      <c r="AU50" s="1">
        <v>0</v>
      </c>
      <c r="AV50" s="1">
        <v>0.02479118</v>
      </c>
      <c r="AW50" s="1">
        <v>0.0429665</v>
      </c>
      <c r="AX50" s="1">
        <v>0.03195872</v>
      </c>
      <c r="AY50" s="1">
        <v>0.02314868</v>
      </c>
      <c r="AZ50" s="1">
        <v>637</v>
      </c>
      <c r="BA50" s="1">
        <v>9.372</v>
      </c>
      <c r="BB50" s="1">
        <f t="shared" si="1"/>
        <v>6.45676965557216</v>
      </c>
      <c r="BC50" s="1">
        <v>0.00104</v>
      </c>
      <c r="BD50" s="1">
        <v>529.4</v>
      </c>
      <c r="BE50" s="1">
        <v>0.849999248981476</v>
      </c>
      <c r="BF50" s="1">
        <v>-125.102199</v>
      </c>
      <c r="BG50" s="1">
        <v>2.451625</v>
      </c>
      <c r="BH50" s="1">
        <v>1271.3914</v>
      </c>
      <c r="BI50" s="1">
        <f t="shared" si="2"/>
        <v>7.14786717028248</v>
      </c>
      <c r="BJ50" s="1">
        <v>3.9371</v>
      </c>
      <c r="BK50" s="1">
        <v>10486.2</v>
      </c>
      <c r="BL50" s="1">
        <v>38.3782346012083</v>
      </c>
      <c r="BM50" s="1">
        <v>389215</v>
      </c>
      <c r="BN50" s="1">
        <v>4670000</v>
      </c>
      <c r="BO50" s="1">
        <v>0.0833</v>
      </c>
      <c r="BP50" s="1">
        <v>0.229307</v>
      </c>
      <c r="BQ50" s="1">
        <v>38.378235</v>
      </c>
      <c r="BR50" s="1">
        <v>8805.38</v>
      </c>
      <c r="BS50" s="3">
        <v>1500000</v>
      </c>
    </row>
    <row r="51" spans="1:71">
      <c r="A51" s="1" t="s">
        <v>75</v>
      </c>
      <c r="B51" s="1">
        <v>5</v>
      </c>
      <c r="C51" s="1">
        <v>116.583</v>
      </c>
      <c r="D51" s="1">
        <v>23.3334</v>
      </c>
      <c r="E51" s="1">
        <v>2012</v>
      </c>
      <c r="F51" s="1">
        <v>0.312798174527163</v>
      </c>
      <c r="G51" s="1">
        <v>7.11800943701942</v>
      </c>
      <c r="H51" s="1">
        <v>4.70555836001936</v>
      </c>
      <c r="I51" s="1">
        <v>4.59390699370938</v>
      </c>
      <c r="J51" s="1">
        <v>4.84780258988614</v>
      </c>
      <c r="K51" s="1">
        <v>4.77457535084881</v>
      </c>
      <c r="L51" s="1">
        <v>-0.1781786</v>
      </c>
      <c r="M51" s="1">
        <v>6.09679256223767</v>
      </c>
      <c r="N51" s="1">
        <v>2.1972246</v>
      </c>
      <c r="O51" s="1">
        <v>10.1747353185244</v>
      </c>
      <c r="P51" s="1">
        <v>109.56</v>
      </c>
      <c r="Q51" s="1">
        <v>97.88</v>
      </c>
      <c r="R51" s="1">
        <v>126.46</v>
      </c>
      <c r="S51" s="1">
        <v>117.46</v>
      </c>
      <c r="T51" s="1">
        <v>31.54</v>
      </c>
      <c r="U51" s="1">
        <v>443.43</v>
      </c>
      <c r="V51" s="1">
        <v>8</v>
      </c>
      <c r="W51" s="1">
        <v>26231</v>
      </c>
      <c r="X51" s="1">
        <v>0.389928068166778</v>
      </c>
      <c r="Y51" s="1">
        <v>9.9</v>
      </c>
      <c r="Z51" s="1">
        <v>0.519399999985965</v>
      </c>
      <c r="AA51" s="1">
        <v>7.87837635540134</v>
      </c>
      <c r="AB51" s="1">
        <f t="shared" si="0"/>
        <v>2.06412183637047</v>
      </c>
      <c r="AC51" s="1">
        <v>2.10642282902804</v>
      </c>
      <c r="AD51" s="1">
        <v>0.00176918746481516</v>
      </c>
      <c r="AE51" s="1">
        <v>0.945509453781513</v>
      </c>
      <c r="AF51" s="1">
        <v>7</v>
      </c>
      <c r="AG51" s="1">
        <v>0.34272</v>
      </c>
      <c r="AH51" s="2">
        <v>3.48247</v>
      </c>
      <c r="AI51" s="1">
        <v>38.3782346012083</v>
      </c>
      <c r="AJ51" s="1">
        <v>0.0866622647738528</v>
      </c>
      <c r="AK51" s="1">
        <v>0.311782080735149</v>
      </c>
      <c r="AL51" s="1">
        <v>0.394878788495593</v>
      </c>
      <c r="AM51" s="1">
        <v>0.559200565256889</v>
      </c>
      <c r="AN51" s="1">
        <v>1256</v>
      </c>
      <c r="AO51" s="1">
        <v>0.02348301</v>
      </c>
      <c r="AP51" s="1">
        <v>0.05424502</v>
      </c>
      <c r="AQ51" s="1">
        <v>0.02709305</v>
      </c>
      <c r="AR51" s="1">
        <v>0.02737158</v>
      </c>
      <c r="AS51" s="1">
        <v>0.05371671</v>
      </c>
      <c r="AT51" s="1">
        <v>0.031259</v>
      </c>
      <c r="AU51" s="1">
        <v>0</v>
      </c>
      <c r="AV51" s="1">
        <v>0.02479118</v>
      </c>
      <c r="AW51" s="1">
        <v>0.0429665</v>
      </c>
      <c r="AX51" s="1">
        <v>0.03195872</v>
      </c>
      <c r="AY51" s="1">
        <v>0.02314868</v>
      </c>
      <c r="AZ51" s="1">
        <v>819</v>
      </c>
      <c r="BA51" s="1">
        <v>9.428</v>
      </c>
      <c r="BB51" s="1">
        <f t="shared" si="1"/>
        <v>6.70808408385307</v>
      </c>
      <c r="BC51" s="1">
        <v>0</v>
      </c>
      <c r="BD51" s="1">
        <v>532.9</v>
      </c>
      <c r="BE51" s="1">
        <v>0.816523671150208</v>
      </c>
      <c r="BF51" s="1">
        <v>-88.160755</v>
      </c>
      <c r="BG51" s="1">
        <v>2.406597</v>
      </c>
      <c r="BH51" s="1">
        <v>1422.9832</v>
      </c>
      <c r="BI51" s="1">
        <f t="shared" si="2"/>
        <v>7.26051079197659</v>
      </c>
      <c r="BJ51" s="1">
        <v>3.9371</v>
      </c>
      <c r="BK51" s="1">
        <v>11765.73</v>
      </c>
      <c r="BL51" s="1">
        <v>38.3782346012083</v>
      </c>
      <c r="BM51" s="1">
        <v>389215</v>
      </c>
      <c r="BN51" s="1">
        <v>4670000</v>
      </c>
      <c r="BO51" s="1">
        <v>0.0833</v>
      </c>
      <c r="BP51" s="1">
        <v>0.229307</v>
      </c>
      <c r="BQ51" s="1">
        <v>38.378235</v>
      </c>
      <c r="BR51" s="1">
        <v>8805.38</v>
      </c>
      <c r="BS51" s="3">
        <v>1500000</v>
      </c>
    </row>
    <row r="52" spans="1:71">
      <c r="A52" s="1" t="s">
        <v>75</v>
      </c>
      <c r="B52" s="1">
        <v>5</v>
      </c>
      <c r="C52" s="1">
        <v>116.583</v>
      </c>
      <c r="D52" s="1">
        <v>23.3334</v>
      </c>
      <c r="E52" s="1">
        <v>2013</v>
      </c>
      <c r="F52" s="1">
        <v>0.336752232055123</v>
      </c>
      <c r="G52" s="1">
        <v>7.1131568585983</v>
      </c>
      <c r="H52" s="1">
        <v>4.99700955051444</v>
      </c>
      <c r="I52" s="1">
        <v>4.86089708719832</v>
      </c>
      <c r="J52" s="1">
        <v>5.11126463537818</v>
      </c>
      <c r="K52" s="1">
        <v>5.17953383055807</v>
      </c>
      <c r="L52" s="1">
        <v>-0.1781786</v>
      </c>
      <c r="M52" s="1">
        <v>5.34214284608806</v>
      </c>
      <c r="N52" s="1">
        <v>2.0794415</v>
      </c>
      <c r="O52" s="1">
        <v>10.263327482618</v>
      </c>
      <c r="P52" s="1">
        <v>146.97</v>
      </c>
      <c r="Q52" s="1">
        <v>128.14</v>
      </c>
      <c r="R52" s="1">
        <v>164.88</v>
      </c>
      <c r="S52" s="1">
        <v>176.6</v>
      </c>
      <c r="T52" s="1">
        <v>36.18</v>
      </c>
      <c r="U52" s="1">
        <v>207.96</v>
      </c>
      <c r="V52" s="1">
        <v>7</v>
      </c>
      <c r="W52" s="1">
        <v>28661</v>
      </c>
      <c r="X52" s="1">
        <v>0.365191204063542</v>
      </c>
      <c r="Y52" s="1">
        <v>1.52</v>
      </c>
      <c r="Z52" s="1">
        <v>0.522200000012772</v>
      </c>
      <c r="AA52" s="1">
        <v>7.88405028525829</v>
      </c>
      <c r="AB52" s="1">
        <f t="shared" si="0"/>
        <v>2.06484176741045</v>
      </c>
      <c r="AC52" s="1">
        <v>2.23646487088711</v>
      </c>
      <c r="AD52" s="1">
        <v>0.00177888888888889</v>
      </c>
      <c r="AE52" s="1">
        <v>0.982698961937716</v>
      </c>
      <c r="AF52" s="1">
        <v>7</v>
      </c>
      <c r="AG52" s="1">
        <v>0.340032</v>
      </c>
      <c r="AH52" s="2">
        <v>3.61577</v>
      </c>
      <c r="AI52" s="1">
        <v>38.3782346012083</v>
      </c>
      <c r="AJ52" s="1">
        <v>0.0866622647738528</v>
      </c>
      <c r="AK52" s="1">
        <v>0.311782080735149</v>
      </c>
      <c r="AL52" s="1">
        <v>0.394878788495593</v>
      </c>
      <c r="AM52" s="1">
        <v>0.559200565256889</v>
      </c>
      <c r="AN52" s="1">
        <v>1256</v>
      </c>
      <c r="AO52" s="1">
        <v>0.02348301</v>
      </c>
      <c r="AP52" s="1">
        <v>0.05424502</v>
      </c>
      <c r="AQ52" s="1">
        <v>0.02709305</v>
      </c>
      <c r="AR52" s="1">
        <v>0.02737158</v>
      </c>
      <c r="AS52" s="1">
        <v>0.05371671</v>
      </c>
      <c r="AT52" s="1">
        <v>0.031259</v>
      </c>
      <c r="AU52" s="1">
        <v>0</v>
      </c>
      <c r="AV52" s="1">
        <v>0.02479118</v>
      </c>
      <c r="AW52" s="1">
        <v>0.0429665</v>
      </c>
      <c r="AX52" s="1">
        <v>0.03195872</v>
      </c>
      <c r="AY52" s="1">
        <v>0.02314868</v>
      </c>
      <c r="AZ52" s="1">
        <v>609</v>
      </c>
      <c r="BA52" s="1">
        <v>9.655</v>
      </c>
      <c r="BB52" s="1">
        <f t="shared" si="1"/>
        <v>6.4118182677099</v>
      </c>
      <c r="BC52" s="1">
        <v>0.000267</v>
      </c>
      <c r="BD52" s="1">
        <v>540</v>
      </c>
      <c r="BE52" s="1">
        <v>0.808308482170105</v>
      </c>
      <c r="BF52" s="1">
        <v>-82.201157</v>
      </c>
      <c r="BG52" s="1">
        <v>1.3438358</v>
      </c>
      <c r="BH52" s="1">
        <v>1569.575679</v>
      </c>
      <c r="BI52" s="1">
        <f t="shared" si="2"/>
        <v>7.35856059366047</v>
      </c>
      <c r="BJ52" s="1">
        <v>3.9371</v>
      </c>
      <c r="BK52" s="1">
        <v>12932.9</v>
      </c>
      <c r="BL52" s="1">
        <v>38.3782346012083</v>
      </c>
      <c r="BM52" s="1">
        <v>389215</v>
      </c>
      <c r="BN52" s="1">
        <v>4670000</v>
      </c>
      <c r="BO52" s="1">
        <v>0.0833</v>
      </c>
      <c r="BP52" s="1">
        <v>0.229307</v>
      </c>
      <c r="BQ52" s="1">
        <v>38.378235</v>
      </c>
      <c r="BR52" s="1">
        <v>8805.38</v>
      </c>
      <c r="BS52" s="3">
        <v>1500000</v>
      </c>
    </row>
    <row r="53" spans="1:71">
      <c r="A53" s="1" t="s">
        <v>75</v>
      </c>
      <c r="B53" s="1">
        <v>5</v>
      </c>
      <c r="C53" s="1">
        <v>116.583</v>
      </c>
      <c r="D53" s="1">
        <v>23.3334</v>
      </c>
      <c r="E53" s="1">
        <v>2014</v>
      </c>
      <c r="F53" s="1">
        <v>0.321563864398047</v>
      </c>
      <c r="G53" s="1">
        <v>7.34261088325978</v>
      </c>
      <c r="H53" s="1">
        <v>5.0370824641111</v>
      </c>
      <c r="I53" s="1">
        <v>5.06449196688696</v>
      </c>
      <c r="J53" s="1">
        <v>5.00736328022583</v>
      </c>
      <c r="K53" s="1">
        <v>4.99809026659396</v>
      </c>
      <c r="L53" s="1">
        <v>-0.1781786</v>
      </c>
      <c r="M53" s="1">
        <v>6.39208460355294</v>
      </c>
      <c r="N53" s="1">
        <v>2.0794415</v>
      </c>
      <c r="O53" s="1">
        <v>10.3482374743071</v>
      </c>
      <c r="P53" s="1">
        <v>153.02</v>
      </c>
      <c r="Q53" s="1">
        <v>157.3</v>
      </c>
      <c r="R53" s="1">
        <v>148.51</v>
      </c>
      <c r="S53" s="1">
        <v>147.13</v>
      </c>
      <c r="T53" s="1">
        <v>50.51</v>
      </c>
      <c r="U53" s="1">
        <v>596.1</v>
      </c>
      <c r="V53" s="1">
        <v>7</v>
      </c>
      <c r="W53" s="1">
        <v>31201</v>
      </c>
      <c r="X53" s="1">
        <v>0.342077561621645</v>
      </c>
      <c r="Y53" s="1">
        <v>10.71</v>
      </c>
      <c r="Z53" s="1">
        <v>0.526399999988348</v>
      </c>
      <c r="AA53" s="1">
        <v>7.89215735696299</v>
      </c>
      <c r="AB53" s="1">
        <f t="shared" si="0"/>
        <v>2.06586952675569</v>
      </c>
      <c r="AC53" s="1">
        <v>2.1772598292828</v>
      </c>
      <c r="AD53" s="1">
        <v>0.00180113428466886</v>
      </c>
      <c r="AE53" s="1">
        <v>0.932377850162866</v>
      </c>
      <c r="AF53" s="1">
        <v>8</v>
      </c>
      <c r="AG53" s="1">
        <v>0.40664</v>
      </c>
      <c r="AH53" s="2">
        <v>3.94178</v>
      </c>
      <c r="AI53" s="1">
        <v>38.3782346012083</v>
      </c>
      <c r="AJ53" s="1">
        <v>0.0866622647738528</v>
      </c>
      <c r="AK53" s="1">
        <v>0.311782080735149</v>
      </c>
      <c r="AL53" s="1">
        <v>0.394878788495593</v>
      </c>
      <c r="AM53" s="1">
        <v>0.559200565256889</v>
      </c>
      <c r="AN53" s="1">
        <v>1256</v>
      </c>
      <c r="AO53" s="1">
        <v>0.02348301</v>
      </c>
      <c r="AP53" s="1">
        <v>0.05424502</v>
      </c>
      <c r="AQ53" s="1">
        <v>0.02709305</v>
      </c>
      <c r="AR53" s="1">
        <v>0.02737158</v>
      </c>
      <c r="AS53" s="1">
        <v>0.05371671</v>
      </c>
      <c r="AT53" s="1">
        <v>0.031259</v>
      </c>
      <c r="AU53" s="1">
        <v>0</v>
      </c>
      <c r="AV53" s="1">
        <v>0.02479118</v>
      </c>
      <c r="AW53" s="1">
        <v>0.0429665</v>
      </c>
      <c r="AX53" s="1">
        <v>0.03195872</v>
      </c>
      <c r="AY53" s="1">
        <v>0.02314868</v>
      </c>
      <c r="AZ53" s="1">
        <v>572</v>
      </c>
      <c r="BA53" s="1">
        <v>9.845</v>
      </c>
      <c r="BB53" s="1">
        <f t="shared" si="1"/>
        <v>6.3491389913798</v>
      </c>
      <c r="BC53" s="1">
        <v>0.000151</v>
      </c>
      <c r="BD53" s="1">
        <v>544.66</v>
      </c>
      <c r="BE53" s="1">
        <v>0.798067688941956</v>
      </c>
      <c r="BF53" s="1">
        <v>-70.275829</v>
      </c>
      <c r="BG53" s="1">
        <v>0.6385666</v>
      </c>
      <c r="BH53" s="1">
        <v>1710.567833</v>
      </c>
      <c r="BI53" s="1">
        <f t="shared" si="2"/>
        <v>7.44458066045684</v>
      </c>
      <c r="BJ53" s="1">
        <v>3.9371</v>
      </c>
      <c r="BK53" s="1">
        <v>14161.53</v>
      </c>
      <c r="BL53" s="1">
        <v>38.3782346012083</v>
      </c>
      <c r="BM53" s="1">
        <v>389215</v>
      </c>
      <c r="BN53" s="1">
        <v>4670000</v>
      </c>
      <c r="BO53" s="1">
        <v>0.0833</v>
      </c>
      <c r="BP53" s="1">
        <v>0.229307</v>
      </c>
      <c r="BQ53" s="1">
        <v>38.378235</v>
      </c>
      <c r="BR53" s="1">
        <v>8805.38</v>
      </c>
      <c r="BS53" s="3">
        <v>1500000</v>
      </c>
    </row>
    <row r="54" spans="1:71">
      <c r="A54" s="1" t="s">
        <v>75</v>
      </c>
      <c r="B54" s="1">
        <v>5</v>
      </c>
      <c r="C54" s="1">
        <v>116.583</v>
      </c>
      <c r="D54" s="1">
        <v>23.3334</v>
      </c>
      <c r="E54" s="1">
        <v>2015</v>
      </c>
      <c r="F54" s="1">
        <v>0.331327215601849</v>
      </c>
      <c r="G54" s="1">
        <v>7.39367838882501</v>
      </c>
      <c r="H54" s="1">
        <v>5.20609242250551</v>
      </c>
      <c r="I54" s="1">
        <v>5.17309422179395</v>
      </c>
      <c r="J54" s="1">
        <v>5.13308888718025</v>
      </c>
      <c r="K54" s="1">
        <v>5.41721089648844</v>
      </c>
      <c r="L54" s="1">
        <v>-0.1781786</v>
      </c>
      <c r="M54" s="1">
        <v>6.687756776812</v>
      </c>
      <c r="N54" s="1">
        <v>2.4849067</v>
      </c>
      <c r="O54" s="1">
        <v>10.4262318656956</v>
      </c>
      <c r="P54" s="1">
        <v>181.38</v>
      </c>
      <c r="Q54" s="1">
        <v>175.46</v>
      </c>
      <c r="R54" s="1">
        <v>168.54</v>
      </c>
      <c r="S54" s="1">
        <v>224.25</v>
      </c>
      <c r="T54" s="1">
        <v>48.19</v>
      </c>
      <c r="U54" s="1">
        <v>801.52</v>
      </c>
      <c r="V54" s="1">
        <v>11</v>
      </c>
      <c r="W54" s="1">
        <v>33732</v>
      </c>
      <c r="X54" s="1">
        <v>0.308411273488777</v>
      </c>
      <c r="Y54" s="1">
        <v>3.56</v>
      </c>
      <c r="Z54" s="1">
        <v>0.514800000010706</v>
      </c>
      <c r="AA54" s="1">
        <v>7.81650514417032</v>
      </c>
      <c r="AB54" s="1">
        <f t="shared" si="0"/>
        <v>2.05623754215187</v>
      </c>
      <c r="AC54" s="1">
        <v>2.17138420677538</v>
      </c>
      <c r="AD54" s="1">
        <v>0.00181757075900156</v>
      </c>
      <c r="AE54" s="1">
        <v>0.726481257557437</v>
      </c>
      <c r="AF54" s="1">
        <v>38</v>
      </c>
      <c r="AG54" s="1">
        <v>0.3857</v>
      </c>
      <c r="AH54" s="2">
        <v>3.89569</v>
      </c>
      <c r="AI54" s="1">
        <v>38.3782346012083</v>
      </c>
      <c r="AJ54" s="1">
        <v>0.0866622647738528</v>
      </c>
      <c r="AK54" s="1">
        <v>0.311782080735149</v>
      </c>
      <c r="AL54" s="1">
        <v>0.394878788495593</v>
      </c>
      <c r="AM54" s="1">
        <v>0.559200565256889</v>
      </c>
      <c r="AN54" s="1">
        <v>1256</v>
      </c>
      <c r="AO54" s="1">
        <v>0.02348301</v>
      </c>
      <c r="AP54" s="1">
        <v>0.05424502</v>
      </c>
      <c r="AQ54" s="1">
        <v>0.02709305</v>
      </c>
      <c r="AR54" s="1">
        <v>0.02737158</v>
      </c>
      <c r="AS54" s="1">
        <v>0.05371671</v>
      </c>
      <c r="AT54" s="1">
        <v>0.031259</v>
      </c>
      <c r="AU54" s="1">
        <v>0</v>
      </c>
      <c r="AV54" s="1">
        <v>0.02479118</v>
      </c>
      <c r="AW54" s="1">
        <v>0.0429665</v>
      </c>
      <c r="AX54" s="1">
        <v>0.03195872</v>
      </c>
      <c r="AY54" s="1">
        <v>0.02314868</v>
      </c>
      <c r="AZ54" s="1">
        <v>772</v>
      </c>
      <c r="BA54" s="1">
        <v>10.005</v>
      </c>
      <c r="BB54" s="1">
        <f t="shared" si="1"/>
        <v>6.64898455002478</v>
      </c>
      <c r="BC54" s="1">
        <v>0.000372</v>
      </c>
      <c r="BD54" s="1">
        <v>545.62</v>
      </c>
      <c r="BE54" s="1">
        <v>0.89652544260025</v>
      </c>
      <c r="BF54" s="1">
        <v>-46.841684</v>
      </c>
      <c r="BG54" s="1">
        <v>2.2114877</v>
      </c>
      <c r="BH54" s="1">
        <v>1869.530321</v>
      </c>
      <c r="BI54" s="1">
        <f t="shared" si="2"/>
        <v>7.53344251306072</v>
      </c>
      <c r="BJ54" s="1">
        <v>3.9371</v>
      </c>
      <c r="BK54" s="1">
        <v>14876.28</v>
      </c>
      <c r="BL54" s="1">
        <v>38.3782346012083</v>
      </c>
      <c r="BM54" s="1">
        <v>389215</v>
      </c>
      <c r="BN54" s="1">
        <v>4670000</v>
      </c>
      <c r="BO54" s="1">
        <v>0.0833</v>
      </c>
      <c r="BP54" s="1">
        <v>0.229307</v>
      </c>
      <c r="BQ54" s="1">
        <v>38.378235</v>
      </c>
      <c r="BR54" s="1">
        <v>8805.38</v>
      </c>
      <c r="BS54" s="3">
        <v>1500000</v>
      </c>
    </row>
    <row r="55" spans="1:71">
      <c r="A55" s="1" t="s">
        <v>75</v>
      </c>
      <c r="B55" s="1">
        <v>5</v>
      </c>
      <c r="C55" s="1">
        <v>116.583</v>
      </c>
      <c r="D55" s="1">
        <v>23.3334</v>
      </c>
      <c r="E55" s="1">
        <v>2016</v>
      </c>
      <c r="F55" s="1">
        <v>0.454600091709673</v>
      </c>
      <c r="G55" s="1">
        <v>7.45332101413431</v>
      </c>
      <c r="H55" s="1">
        <v>5.3065890561026</v>
      </c>
      <c r="I55" s="1">
        <v>5.21463377342939</v>
      </c>
      <c r="J55" s="1">
        <v>5.40246765402507</v>
      </c>
      <c r="K55" s="1">
        <v>5.40851469982131</v>
      </c>
      <c r="L55" s="1">
        <v>-0.1781786</v>
      </c>
      <c r="M55" s="1">
        <v>6.58968272520628</v>
      </c>
      <c r="N55" s="1">
        <v>2.7725887</v>
      </c>
      <c r="O55" s="1">
        <v>10.5291853127325</v>
      </c>
      <c r="P55" s="1">
        <v>200.661198931067</v>
      </c>
      <c r="Q55" s="1">
        <v>182.944443285279</v>
      </c>
      <c r="R55" s="1">
        <v>220.953445346963</v>
      </c>
      <c r="S55" s="1">
        <v>222.299674211623</v>
      </c>
      <c r="T55" s="1">
        <v>52.43</v>
      </c>
      <c r="U55" s="1">
        <v>726.55</v>
      </c>
      <c r="V55" s="1">
        <v>15</v>
      </c>
      <c r="W55" s="1">
        <v>37390</v>
      </c>
      <c r="X55" s="1">
        <v>0.270243788374178</v>
      </c>
      <c r="Y55" s="1">
        <v>6.06</v>
      </c>
      <c r="Z55" s="1">
        <v>0.505100000004805</v>
      </c>
      <c r="AA55" s="1">
        <v>7.81804349331261</v>
      </c>
      <c r="AB55" s="1">
        <f t="shared" si="0"/>
        <v>2.05643433058279</v>
      </c>
      <c r="AC55" s="1">
        <v>2.12837947096764</v>
      </c>
      <c r="AD55" s="1">
        <v>0.0019350626118068</v>
      </c>
      <c r="AE55" s="1">
        <v>0.857550459685089</v>
      </c>
      <c r="AF55" s="1">
        <v>28</v>
      </c>
      <c r="AG55" s="1">
        <v>0.36072</v>
      </c>
      <c r="AH55" s="2">
        <v>3.97837</v>
      </c>
      <c r="AI55" s="1">
        <v>38.3782346012083</v>
      </c>
      <c r="AJ55" s="1">
        <v>0.0866622647738528</v>
      </c>
      <c r="AK55" s="1">
        <v>0.311782080735149</v>
      </c>
      <c r="AL55" s="1">
        <v>0.394878788495593</v>
      </c>
      <c r="AM55" s="1">
        <v>0.559200565256889</v>
      </c>
      <c r="AN55" s="1">
        <v>1256</v>
      </c>
      <c r="AO55" s="1">
        <v>0.02348301</v>
      </c>
      <c r="AP55" s="1">
        <v>0.05424502</v>
      </c>
      <c r="AQ55" s="1">
        <v>0.02709305</v>
      </c>
      <c r="AR55" s="1">
        <v>0.02737158</v>
      </c>
      <c r="AS55" s="1">
        <v>0.05371671</v>
      </c>
      <c r="AT55" s="1">
        <v>0.031259</v>
      </c>
      <c r="AU55" s="1">
        <v>0</v>
      </c>
      <c r="AV55" s="1">
        <v>0.02479118</v>
      </c>
      <c r="AW55" s="1">
        <v>0.0429665</v>
      </c>
      <c r="AX55" s="1">
        <v>0.03195872</v>
      </c>
      <c r="AY55" s="1">
        <v>0.02314868</v>
      </c>
      <c r="AZ55" s="1">
        <v>885</v>
      </c>
      <c r="BA55" s="1">
        <v>10.187</v>
      </c>
      <c r="BB55" s="1">
        <f t="shared" si="1"/>
        <v>6.78558764500793</v>
      </c>
      <c r="BC55" s="1">
        <v>0</v>
      </c>
      <c r="BD55" s="1">
        <v>546.46</v>
      </c>
      <c r="BE55" s="1">
        <v>0.957144021987915</v>
      </c>
      <c r="BF55" s="1">
        <v>-33.61887</v>
      </c>
      <c r="BG55" s="1">
        <v>1.9442248</v>
      </c>
      <c r="BH55" s="1">
        <v>2097.482845</v>
      </c>
      <c r="BI55" s="1">
        <f t="shared" si="2"/>
        <v>7.64849325952365</v>
      </c>
      <c r="BJ55" s="1">
        <v>3.9371</v>
      </c>
      <c r="BK55" s="1">
        <v>15782.27</v>
      </c>
      <c r="BL55" s="1">
        <v>38.3782346012083</v>
      </c>
      <c r="BM55" s="1">
        <v>389215</v>
      </c>
      <c r="BN55" s="1">
        <v>4670000</v>
      </c>
      <c r="BO55" s="1">
        <v>0.0833</v>
      </c>
      <c r="BP55" s="1">
        <v>0.229307</v>
      </c>
      <c r="BQ55" s="1">
        <v>38.378235</v>
      </c>
      <c r="BR55" s="1">
        <v>8805.38</v>
      </c>
      <c r="BS55" s="3">
        <v>1500000</v>
      </c>
    </row>
    <row r="56" spans="1:71">
      <c r="A56" s="1" t="s">
        <v>75</v>
      </c>
      <c r="B56" s="1">
        <v>5</v>
      </c>
      <c r="C56" s="1">
        <v>116.583</v>
      </c>
      <c r="D56" s="1">
        <v>23.3334</v>
      </c>
      <c r="E56" s="1">
        <v>2017</v>
      </c>
      <c r="F56" s="1">
        <v>0.354662642022398</v>
      </c>
      <c r="G56" s="1">
        <v>7.30115975517735</v>
      </c>
      <c r="H56" s="1">
        <v>5.45671194300751</v>
      </c>
      <c r="I56" s="1">
        <v>5.32980858590525</v>
      </c>
      <c r="J56" s="1">
        <v>5.62686868608365</v>
      </c>
      <c r="K56" s="1">
        <v>5.51170126541279</v>
      </c>
      <c r="L56" s="1">
        <v>-0.1781786</v>
      </c>
      <c r="M56" s="1">
        <v>8.43754807136093</v>
      </c>
      <c r="N56" s="1">
        <v>2.8903718</v>
      </c>
      <c r="O56" s="1">
        <v>10.6461383855293</v>
      </c>
      <c r="P56" s="1">
        <v>233.325680128114</v>
      </c>
      <c r="Q56" s="1">
        <v>205.398462821904</v>
      </c>
      <c r="R56" s="1">
        <v>276.790903765669</v>
      </c>
      <c r="S56" s="1">
        <v>246.571954611021</v>
      </c>
      <c r="T56" s="1">
        <v>56.2698</v>
      </c>
      <c r="U56" s="1">
        <v>4616.22</v>
      </c>
      <c r="V56" s="1">
        <v>17</v>
      </c>
      <c r="W56" s="1">
        <v>42028.9772</v>
      </c>
      <c r="X56" s="1">
        <v>0.253499090951588</v>
      </c>
      <c r="Y56" s="1">
        <v>8.83</v>
      </c>
      <c r="Z56" s="4">
        <v>0.5065</v>
      </c>
      <c r="AA56" s="1">
        <v>7.81996310778546</v>
      </c>
      <c r="AB56" s="1">
        <f t="shared" si="0"/>
        <v>2.0566798368716</v>
      </c>
      <c r="AC56" s="1">
        <v>2.05964793584142</v>
      </c>
      <c r="AD56" s="1">
        <v>0.00190530973451327</v>
      </c>
      <c r="AE56" s="1">
        <v>0.75116726174128</v>
      </c>
      <c r="AF56" s="1">
        <v>156</v>
      </c>
      <c r="AG56" s="1">
        <v>0.383468</v>
      </c>
      <c r="AH56" s="2">
        <v>4.04777</v>
      </c>
      <c r="AI56" s="1">
        <v>38.3782346012083</v>
      </c>
      <c r="AJ56" s="1">
        <v>0.0866622647738528</v>
      </c>
      <c r="AK56" s="1">
        <v>0.311782080735149</v>
      </c>
      <c r="AL56" s="1">
        <v>0.394878788495593</v>
      </c>
      <c r="AM56" s="1">
        <v>0.559200565256889</v>
      </c>
      <c r="AN56" s="1">
        <v>1256</v>
      </c>
      <c r="AO56" s="1">
        <v>0.02348301</v>
      </c>
      <c r="AP56" s="1">
        <v>0.05424502</v>
      </c>
      <c r="AQ56" s="1">
        <v>0.02709305</v>
      </c>
      <c r="AR56" s="1">
        <v>0.02737158</v>
      </c>
      <c r="AS56" s="1">
        <v>0.05371671</v>
      </c>
      <c r="AT56" s="1">
        <v>0.031259</v>
      </c>
      <c r="AU56" s="1">
        <v>0</v>
      </c>
      <c r="AV56" s="1">
        <v>0.02479118</v>
      </c>
      <c r="AW56" s="1">
        <v>0.0429665</v>
      </c>
      <c r="AX56" s="1">
        <v>0.03195872</v>
      </c>
      <c r="AY56" s="1">
        <v>0.02314868</v>
      </c>
      <c r="AZ56" s="1">
        <v>1235</v>
      </c>
      <c r="BA56" s="1">
        <v>10.549</v>
      </c>
      <c r="BB56" s="1">
        <f t="shared" si="1"/>
        <v>7.11882624906208</v>
      </c>
      <c r="BC56" s="1">
        <v>0.00124</v>
      </c>
      <c r="BD56" s="1">
        <v>547.51</v>
      </c>
      <c r="BE56" s="1">
        <v>0.997681319713593</v>
      </c>
      <c r="BF56" s="1">
        <v>28.51082</v>
      </c>
      <c r="BG56" s="1">
        <v>2.0050652</v>
      </c>
      <c r="BH56" s="1">
        <v>2368.163606</v>
      </c>
      <c r="BI56" s="1">
        <f t="shared" si="2"/>
        <v>7.76987008398889</v>
      </c>
      <c r="BJ56" s="1">
        <v>3.9371</v>
      </c>
      <c r="BK56" s="1">
        <v>16768.06</v>
      </c>
      <c r="BL56" s="1">
        <v>38.3782346012083</v>
      </c>
      <c r="BM56" s="1">
        <v>389215</v>
      </c>
      <c r="BN56" s="1">
        <v>4670000</v>
      </c>
      <c r="BO56" s="1">
        <v>0.0833</v>
      </c>
      <c r="BP56" s="1">
        <v>0.229307</v>
      </c>
      <c r="BQ56" s="1">
        <v>38.378235</v>
      </c>
      <c r="BR56" s="1">
        <v>8805.38</v>
      </c>
      <c r="BS56" s="3">
        <v>1500000</v>
      </c>
    </row>
    <row r="57" spans="1:71">
      <c r="A57" s="1" t="s">
        <v>75</v>
      </c>
      <c r="B57" s="1">
        <v>5</v>
      </c>
      <c r="C57" s="1">
        <v>116.583</v>
      </c>
      <c r="D57" s="1">
        <v>23.3334</v>
      </c>
      <c r="E57" s="1">
        <v>2018</v>
      </c>
      <c r="F57" s="1">
        <v>0.338608411943313</v>
      </c>
      <c r="G57" s="1">
        <v>7.3598372389455</v>
      </c>
      <c r="H57" s="1">
        <v>5.52306048147798</v>
      </c>
      <c r="I57" s="1">
        <v>5.41538080335526</v>
      </c>
      <c r="J57" s="1">
        <v>5.6303192190896</v>
      </c>
      <c r="K57" s="1">
        <v>5.64651675411791</v>
      </c>
      <c r="L57" s="1">
        <v>-0.1781786</v>
      </c>
      <c r="M57" s="1">
        <v>7.62653121917589</v>
      </c>
      <c r="N57" s="1">
        <v>2.8903718</v>
      </c>
      <c r="O57" s="1">
        <v>10.7071245712583</v>
      </c>
      <c r="P57" s="1">
        <v>249.400210902238</v>
      </c>
      <c r="Q57" s="1">
        <v>223.838148521734</v>
      </c>
      <c r="R57" s="1">
        <v>277.751086100425</v>
      </c>
      <c r="S57" s="1">
        <v>282.302931404009</v>
      </c>
      <c r="T57" s="1">
        <v>60.8704</v>
      </c>
      <c r="U57" s="1">
        <v>2050.92</v>
      </c>
      <c r="V57" s="1">
        <v>17</v>
      </c>
      <c r="W57" s="1">
        <v>44672</v>
      </c>
      <c r="X57" s="1">
        <v>0.221170155093226</v>
      </c>
      <c r="Y57" s="1">
        <v>13.34</v>
      </c>
      <c r="Z57" s="1">
        <v>0.508</v>
      </c>
      <c r="AA57" s="1">
        <v>7.82193373154151</v>
      </c>
      <c r="AB57" s="1">
        <f t="shared" si="0"/>
        <v>2.05693180423677</v>
      </c>
      <c r="AC57" s="1">
        <v>2.18334281828103</v>
      </c>
      <c r="AD57" s="1">
        <v>0.00379789103690685</v>
      </c>
      <c r="AE57" s="1">
        <v>0.933694344163658</v>
      </c>
      <c r="AF57" s="1">
        <v>62</v>
      </c>
      <c r="AG57" s="1">
        <v>0.425828</v>
      </c>
      <c r="AH57" s="2">
        <v>4.12504</v>
      </c>
      <c r="AI57" s="1">
        <v>38.3782346012083</v>
      </c>
      <c r="AJ57" s="1">
        <v>0.0866622647738528</v>
      </c>
      <c r="AK57" s="1">
        <v>0.311782080735149</v>
      </c>
      <c r="AL57" s="1">
        <v>0.394878788495593</v>
      </c>
      <c r="AM57" s="1">
        <v>0.559200565256889</v>
      </c>
      <c r="AN57" s="1">
        <v>1256</v>
      </c>
      <c r="AO57" s="1">
        <v>0.02348301</v>
      </c>
      <c r="AP57" s="1">
        <v>0.05424502</v>
      </c>
      <c r="AQ57" s="1">
        <v>0.02709305</v>
      </c>
      <c r="AR57" s="1">
        <v>0.02737158</v>
      </c>
      <c r="AS57" s="1">
        <v>0.05371671</v>
      </c>
      <c r="AT57" s="1">
        <v>0.031259</v>
      </c>
      <c r="AU57" s="1">
        <v>0</v>
      </c>
      <c r="AV57" s="1">
        <v>0.02479118</v>
      </c>
      <c r="AW57" s="1">
        <v>0.0429665</v>
      </c>
      <c r="AX57" s="1">
        <v>0.03195872</v>
      </c>
      <c r="AY57" s="1">
        <v>0.02314868</v>
      </c>
      <c r="AZ57" s="1">
        <v>1197</v>
      </c>
      <c r="BA57" s="1">
        <v>12</v>
      </c>
      <c r="BB57" s="1">
        <f t="shared" si="1"/>
        <v>7.08757370555797</v>
      </c>
      <c r="BC57" s="1">
        <v>0.000229</v>
      </c>
      <c r="BD57" s="1">
        <v>548.59</v>
      </c>
      <c r="BE57" s="1">
        <v>0.958734631538391</v>
      </c>
      <c r="BF57" s="1">
        <v>-12.948562</v>
      </c>
      <c r="BG57" s="1">
        <v>0.8894241</v>
      </c>
      <c r="BH57" s="1">
        <v>2503.0766</v>
      </c>
      <c r="BI57" s="1">
        <f t="shared" si="2"/>
        <v>7.82527589423957</v>
      </c>
      <c r="BJ57" s="1">
        <v>3.9371</v>
      </c>
      <c r="BK57" s="1">
        <v>17702.03</v>
      </c>
      <c r="BL57" s="1">
        <v>38.3782346012083</v>
      </c>
      <c r="BM57" s="1">
        <v>389215</v>
      </c>
      <c r="BN57" s="1">
        <v>4670000</v>
      </c>
      <c r="BO57" s="1">
        <v>0.0833</v>
      </c>
      <c r="BP57" s="1">
        <v>0.229307</v>
      </c>
      <c r="BQ57" s="1">
        <v>38.378235</v>
      </c>
      <c r="BR57" s="1">
        <v>8805.38</v>
      </c>
      <c r="BS57" s="3">
        <v>1500000</v>
      </c>
    </row>
    <row r="58" spans="1:71">
      <c r="A58" s="1" t="s">
        <v>75</v>
      </c>
      <c r="B58" s="1">
        <v>5</v>
      </c>
      <c r="C58" s="1">
        <v>116.583</v>
      </c>
      <c r="D58" s="1">
        <v>23.3334</v>
      </c>
      <c r="E58" s="1">
        <v>2019</v>
      </c>
      <c r="F58" s="1">
        <v>0.359729000066999</v>
      </c>
      <c r="G58" s="1">
        <v>7.32204718867093</v>
      </c>
      <c r="H58" s="1">
        <v>5.56625727281082</v>
      </c>
      <c r="I58" s="1">
        <v>5.47385336677022</v>
      </c>
      <c r="J58" s="1">
        <v>5.66277826700836</v>
      </c>
      <c r="K58" s="1">
        <v>5.66824230013663</v>
      </c>
      <c r="L58" s="1">
        <v>-0.1781786</v>
      </c>
      <c r="M58" s="1">
        <v>5.74722503249903</v>
      </c>
      <c r="N58" s="1">
        <v>2.5649493</v>
      </c>
      <c r="O58" s="1">
        <v>10.7720560483026</v>
      </c>
      <c r="P58" s="1">
        <v>260.453715764504</v>
      </c>
      <c r="Q58" s="1">
        <v>237.37697917949</v>
      </c>
      <c r="R58" s="1">
        <v>286.94752736899</v>
      </c>
      <c r="S58" s="1">
        <v>288.525188483442</v>
      </c>
      <c r="T58" s="1">
        <v>66.43</v>
      </c>
      <c r="U58" s="1">
        <v>312.32</v>
      </c>
      <c r="V58" s="1">
        <v>12</v>
      </c>
      <c r="W58" s="1">
        <v>47668.9285</v>
      </c>
      <c r="X58" s="1">
        <v>0.222904467720161</v>
      </c>
      <c r="Y58" s="1">
        <v>9.2</v>
      </c>
      <c r="Z58" s="1">
        <v>0.475</v>
      </c>
      <c r="AA58" s="1">
        <v>7.82324532659245</v>
      </c>
      <c r="AB58" s="1">
        <f t="shared" si="0"/>
        <v>2.0570994718677</v>
      </c>
      <c r="AC58" s="1">
        <v>2.22081437046622</v>
      </c>
      <c r="AD58" s="1">
        <v>0.00238391608391608</v>
      </c>
      <c r="AE58" s="1">
        <v>0.769484208134515</v>
      </c>
      <c r="AF58" s="1">
        <v>4</v>
      </c>
      <c r="AG58" s="1">
        <v>0.415116</v>
      </c>
      <c r="AH58" s="2">
        <v>4.21109</v>
      </c>
      <c r="AI58" s="1">
        <v>38.3782346012083</v>
      </c>
      <c r="AJ58" s="1">
        <v>0.0866622647738528</v>
      </c>
      <c r="AK58" s="1">
        <v>0.311782080735149</v>
      </c>
      <c r="AL58" s="1">
        <v>0.394878788495593</v>
      </c>
      <c r="AM58" s="1">
        <v>0.559200565256889</v>
      </c>
      <c r="AN58" s="1">
        <v>1256</v>
      </c>
      <c r="AO58" s="1">
        <v>0.02348301</v>
      </c>
      <c r="AP58" s="1">
        <v>0.05424502</v>
      </c>
      <c r="AQ58" s="1">
        <v>0.02709305</v>
      </c>
      <c r="AR58" s="1">
        <v>0.02737158</v>
      </c>
      <c r="AS58" s="1">
        <v>0.05371671</v>
      </c>
      <c r="AT58" s="1">
        <v>0.031259</v>
      </c>
      <c r="AU58" s="1">
        <v>0</v>
      </c>
      <c r="AV58" s="1">
        <v>0.02479118</v>
      </c>
      <c r="AW58" s="1">
        <v>0.0429665</v>
      </c>
      <c r="AX58" s="1">
        <v>0.03195872</v>
      </c>
      <c r="AY58" s="1">
        <v>0.02314868</v>
      </c>
      <c r="AZ58" s="1">
        <v>1346</v>
      </c>
      <c r="BA58" s="1">
        <v>13.636</v>
      </c>
      <c r="BB58" s="1">
        <f t="shared" si="1"/>
        <v>7.20489251020467</v>
      </c>
      <c r="BC58" s="1">
        <v>0.000437</v>
      </c>
      <c r="BD58" s="1">
        <v>549.31</v>
      </c>
      <c r="BE58" s="1">
        <v>1.0012012720108</v>
      </c>
      <c r="BF58" s="1">
        <v>-9.327954</v>
      </c>
      <c r="BG58" s="1">
        <v>1.5734512</v>
      </c>
      <c r="BH58" s="1">
        <v>2687.27762090844</v>
      </c>
      <c r="BI58" s="1">
        <f t="shared" si="2"/>
        <v>7.89628392330382</v>
      </c>
      <c r="BJ58" s="1">
        <v>3.9371</v>
      </c>
      <c r="BK58" s="1">
        <v>18998.3</v>
      </c>
      <c r="BL58" s="1">
        <v>38.3782346012083</v>
      </c>
      <c r="BM58" s="1">
        <v>389215</v>
      </c>
      <c r="BN58" s="1">
        <v>4670000</v>
      </c>
      <c r="BO58" s="1">
        <v>0.0833</v>
      </c>
      <c r="BP58" s="1">
        <v>0.229307</v>
      </c>
      <c r="BQ58" s="1">
        <v>38.378235</v>
      </c>
      <c r="BR58" s="1">
        <v>8805.38</v>
      </c>
      <c r="BS58" s="3">
        <v>1500000</v>
      </c>
    </row>
    <row r="59" spans="1:71">
      <c r="A59" s="1" t="s">
        <v>75</v>
      </c>
      <c r="B59" s="1">
        <v>5</v>
      </c>
      <c r="C59" s="1">
        <v>116.583</v>
      </c>
      <c r="D59" s="1">
        <v>23.3334</v>
      </c>
      <c r="E59" s="1">
        <v>2020</v>
      </c>
      <c r="F59" s="1">
        <v>0.344837754190654</v>
      </c>
      <c r="G59" s="1">
        <v>7.38929215021987</v>
      </c>
      <c r="H59" s="1">
        <v>5.60255695846274</v>
      </c>
      <c r="I59" s="1">
        <v>5.52947520113071</v>
      </c>
      <c r="J59" s="1">
        <v>5.69308471782314</v>
      </c>
      <c r="K59" s="1">
        <v>5.66138189941609</v>
      </c>
      <c r="L59" s="1">
        <v>-0.1781786</v>
      </c>
      <c r="M59" s="1">
        <v>5.22682136484296</v>
      </c>
      <c r="N59" s="1">
        <v>3.1780539</v>
      </c>
      <c r="O59" s="1">
        <v>10.8130012641968</v>
      </c>
      <c r="P59" s="1">
        <v>270.118761338761</v>
      </c>
      <c r="Q59" s="1">
        <v>251.011620920062</v>
      </c>
      <c r="R59" s="1">
        <v>295.807778168489</v>
      </c>
      <c r="S59" s="1">
        <v>286.545727384482</v>
      </c>
      <c r="T59" s="1">
        <v>71.31</v>
      </c>
      <c r="U59" s="1">
        <v>185.2</v>
      </c>
      <c r="V59" s="1">
        <v>23</v>
      </c>
      <c r="W59" s="1">
        <v>49661.2946</v>
      </c>
      <c r="X59" s="1">
        <v>0.249632440269209</v>
      </c>
      <c r="Y59" s="1">
        <v>14.58</v>
      </c>
      <c r="Z59" s="1">
        <v>0.4775</v>
      </c>
      <c r="AA59" s="1">
        <v>7.82517316074111</v>
      </c>
      <c r="AB59" s="1">
        <f t="shared" si="0"/>
        <v>2.05734586534956</v>
      </c>
      <c r="AC59" s="1">
        <v>2.30324774628187</v>
      </c>
      <c r="AD59" s="1">
        <v>0.00528521739130435</v>
      </c>
      <c r="AE59" s="4">
        <v>0.605274072105372</v>
      </c>
      <c r="AF59" s="1">
        <v>4</v>
      </c>
      <c r="AG59" s="1">
        <v>0.46592</v>
      </c>
      <c r="AH59" s="2">
        <v>4.28096</v>
      </c>
      <c r="AI59" s="1">
        <v>38.3782346012083</v>
      </c>
      <c r="AJ59" s="1">
        <v>0.0866622647738528</v>
      </c>
      <c r="AK59" s="1">
        <v>0.311782080735149</v>
      </c>
      <c r="AL59" s="1">
        <v>0.394878788495593</v>
      </c>
      <c r="AM59" s="1">
        <v>0.559200565256889</v>
      </c>
      <c r="AN59" s="1">
        <v>1256</v>
      </c>
      <c r="AO59" s="1">
        <v>0.02348301</v>
      </c>
      <c r="AP59" s="1">
        <v>0.05424502</v>
      </c>
      <c r="AQ59" s="1">
        <v>0.02709305</v>
      </c>
      <c r="AR59" s="1">
        <v>0.02737158</v>
      </c>
      <c r="AS59" s="1">
        <v>0.05371671</v>
      </c>
      <c r="AT59" s="1">
        <v>0.031259</v>
      </c>
      <c r="AU59" s="1">
        <v>0</v>
      </c>
      <c r="AV59" s="1">
        <v>0.02479118</v>
      </c>
      <c r="AW59" s="1">
        <v>0.0429665</v>
      </c>
      <c r="AX59" s="1">
        <v>0.03195872</v>
      </c>
      <c r="AY59" s="1">
        <v>0.02314868</v>
      </c>
      <c r="AZ59" s="1">
        <v>1462</v>
      </c>
      <c r="BA59" s="1">
        <v>16</v>
      </c>
      <c r="BB59" s="1">
        <f t="shared" si="1"/>
        <v>7.28756064030972</v>
      </c>
      <c r="BC59" s="1">
        <v>0</v>
      </c>
      <c r="BD59" s="1">
        <v>550.37</v>
      </c>
      <c r="BE59" s="1">
        <v>1.00032615661621</v>
      </c>
      <c r="BF59" s="1">
        <v>-0.280162</v>
      </c>
      <c r="BG59" s="1">
        <v>1.1287853</v>
      </c>
      <c r="BH59" s="1">
        <v>2730.5766</v>
      </c>
      <c r="BI59" s="1">
        <f t="shared" si="2"/>
        <v>7.91226807466878</v>
      </c>
      <c r="BJ59" s="1">
        <v>3.9371</v>
      </c>
      <c r="BK59" s="1">
        <v>19582.8</v>
      </c>
      <c r="BL59" s="1">
        <v>38.3782346012083</v>
      </c>
      <c r="BM59" s="1">
        <v>389215</v>
      </c>
      <c r="BN59" s="1">
        <v>4670000</v>
      </c>
      <c r="BO59" s="1">
        <v>0.0833</v>
      </c>
      <c r="BP59" s="1">
        <v>0.229307</v>
      </c>
      <c r="BQ59" s="1">
        <v>38.378235</v>
      </c>
      <c r="BR59" s="1">
        <v>8805.38</v>
      </c>
      <c r="BS59" s="3">
        <v>1500000</v>
      </c>
    </row>
    <row r="60" spans="1:71">
      <c r="A60" s="1" t="s">
        <v>75</v>
      </c>
      <c r="B60" s="1">
        <v>5</v>
      </c>
      <c r="C60" s="1">
        <v>116.583</v>
      </c>
      <c r="D60" s="1">
        <v>23.3334</v>
      </c>
      <c r="E60" s="1">
        <v>2021</v>
      </c>
      <c r="F60" s="1">
        <v>0.361610472205329</v>
      </c>
      <c r="G60" s="1">
        <v>7.39380203689305</v>
      </c>
      <c r="H60" s="1">
        <v>5.70340307569351</v>
      </c>
      <c r="I60" s="1">
        <v>5.67115464111223</v>
      </c>
      <c r="J60" s="1">
        <v>5.76198982522517</v>
      </c>
      <c r="K60" s="1">
        <v>5.69859582454436</v>
      </c>
      <c r="L60" s="1">
        <v>-0.1781786</v>
      </c>
      <c r="M60" s="1">
        <v>8.17340908813191</v>
      </c>
      <c r="N60" s="1">
        <v>2.3978953</v>
      </c>
      <c r="O60" s="1">
        <v>10.4427694000535</v>
      </c>
      <c r="P60" s="1">
        <v>298.886201897928</v>
      </c>
      <c r="Q60" s="1">
        <v>289.369613644668</v>
      </c>
      <c r="R60" s="1">
        <v>316.98042531545</v>
      </c>
      <c r="S60" s="1">
        <v>297.448033150486</v>
      </c>
      <c r="T60" s="1">
        <v>81.6416</v>
      </c>
      <c r="U60" s="1">
        <v>3544.41</v>
      </c>
      <c r="V60" s="1">
        <v>10</v>
      </c>
      <c r="W60" s="1">
        <v>34294.499</v>
      </c>
      <c r="X60" s="1">
        <v>0.257156285095252</v>
      </c>
      <c r="Y60" s="1">
        <v>22.62</v>
      </c>
      <c r="Z60" s="1">
        <v>0.4823</v>
      </c>
      <c r="AA60" s="1">
        <v>7.83001271305843</v>
      </c>
      <c r="AB60" s="1">
        <f t="shared" si="0"/>
        <v>2.05796413363593</v>
      </c>
      <c r="AC60" s="1">
        <v>2.37963030182578</v>
      </c>
      <c r="AD60" s="1">
        <v>0.0052643598615917</v>
      </c>
      <c r="AE60" s="1">
        <v>0.891861310918936</v>
      </c>
      <c r="AF60" s="1">
        <v>103</v>
      </c>
      <c r="AG60" s="1">
        <v>0.4469</v>
      </c>
      <c r="AH60" s="2">
        <v>4.41451</v>
      </c>
      <c r="AI60" s="1">
        <v>38.3782346012083</v>
      </c>
      <c r="AJ60" s="1">
        <v>0.0866622647738528</v>
      </c>
      <c r="AK60" s="1">
        <v>0.311782080735149</v>
      </c>
      <c r="AL60" s="1">
        <v>0.394878788495593</v>
      </c>
      <c r="AM60" s="1">
        <v>0.559200565256889</v>
      </c>
      <c r="AN60" s="1">
        <v>1256</v>
      </c>
      <c r="AO60" s="1">
        <v>0.02348301</v>
      </c>
      <c r="AP60" s="1">
        <v>0.05424502</v>
      </c>
      <c r="AQ60" s="1">
        <v>0.02709305</v>
      </c>
      <c r="AR60" s="1">
        <v>0.02737158</v>
      </c>
      <c r="AS60" s="1">
        <v>0.05371671</v>
      </c>
      <c r="AT60" s="1">
        <v>0.031259</v>
      </c>
      <c r="AU60" s="1">
        <v>0</v>
      </c>
      <c r="AV60" s="1">
        <v>0.02479118</v>
      </c>
      <c r="AW60" s="1">
        <v>0.0429665</v>
      </c>
      <c r="AX60" s="1">
        <v>0.03195872</v>
      </c>
      <c r="AY60" s="1">
        <v>0.02314868</v>
      </c>
      <c r="AZ60" s="1">
        <v>1353</v>
      </c>
      <c r="BA60" s="1">
        <v>18.3</v>
      </c>
      <c r="BB60" s="1">
        <f t="shared" si="1"/>
        <v>7.21007962817079</v>
      </c>
      <c r="BC60" s="1">
        <v>0.00103</v>
      </c>
      <c r="BD60" s="1">
        <v>553.04</v>
      </c>
      <c r="BE60" s="1">
        <v>0.985620439052582</v>
      </c>
      <c r="BF60" s="1">
        <v>334.864932</v>
      </c>
      <c r="BG60" s="1">
        <v>0.8270392</v>
      </c>
      <c r="BH60" s="1">
        <v>2929.8657</v>
      </c>
      <c r="BI60" s="1">
        <f t="shared" si="2"/>
        <v>7.98271186478313</v>
      </c>
      <c r="BJ60" s="1">
        <v>3.9371</v>
      </c>
      <c r="BK60" s="1">
        <v>22678.21</v>
      </c>
      <c r="BL60" s="1">
        <v>38.3782346012083</v>
      </c>
      <c r="BM60" s="1">
        <v>389215</v>
      </c>
      <c r="BN60" s="1">
        <v>4670000</v>
      </c>
      <c r="BO60" s="1">
        <v>0.0833</v>
      </c>
      <c r="BP60" s="1">
        <v>0.229307</v>
      </c>
      <c r="BQ60" s="1">
        <v>38.378235</v>
      </c>
      <c r="BR60" s="1">
        <v>8805.38</v>
      </c>
      <c r="BS60" s="3">
        <v>1500000</v>
      </c>
    </row>
    <row r="61" spans="1:71">
      <c r="A61" s="1" t="s">
        <v>75</v>
      </c>
      <c r="B61" s="1">
        <v>5</v>
      </c>
      <c r="C61" s="1">
        <v>116.583</v>
      </c>
      <c r="D61" s="1">
        <v>23.3334</v>
      </c>
      <c r="E61" s="1">
        <v>2022</v>
      </c>
      <c r="F61" s="1">
        <v>0.357949005836167</v>
      </c>
      <c r="G61" s="1">
        <v>6.97236554848323</v>
      </c>
      <c r="H61" s="1">
        <v>5.71950700302794</v>
      </c>
      <c r="I61" s="1">
        <v>5.7429298065915</v>
      </c>
      <c r="J61" s="1">
        <v>5.67444503191616</v>
      </c>
      <c r="K61" s="1">
        <v>5.72137884806771</v>
      </c>
      <c r="L61" s="1">
        <v>-0.1781786</v>
      </c>
      <c r="M61" s="1">
        <v>6.97307474510277</v>
      </c>
      <c r="N61" s="1">
        <v>3.3672957</v>
      </c>
      <c r="O61" s="1">
        <v>10.9060477195624</v>
      </c>
      <c r="P61" s="1">
        <v>303.754642760328</v>
      </c>
      <c r="Q61" s="1">
        <v>310.977105901653</v>
      </c>
      <c r="R61" s="1">
        <v>290.326616742339</v>
      </c>
      <c r="S61" s="1">
        <v>304.325630503806</v>
      </c>
      <c r="T61" s="1">
        <v>69.4495</v>
      </c>
      <c r="U61" s="1">
        <v>1066.5</v>
      </c>
      <c r="V61" s="1">
        <v>28</v>
      </c>
      <c r="W61" s="1">
        <v>54504</v>
      </c>
      <c r="X61" s="1">
        <v>0.255504539193221</v>
      </c>
      <c r="Y61" s="1">
        <v>12.96</v>
      </c>
      <c r="Z61" s="1">
        <v>0.4794</v>
      </c>
      <c r="AA61" s="1">
        <v>7.83208996966008</v>
      </c>
      <c r="AB61" s="1">
        <f t="shared" si="0"/>
        <v>2.05822939260606</v>
      </c>
      <c r="AC61" s="1">
        <v>2.58451665094419</v>
      </c>
      <c r="AD61" s="1">
        <v>0.011333506044905</v>
      </c>
      <c r="AE61" s="1">
        <v>1.21944990176817</v>
      </c>
      <c r="AF61" s="1">
        <v>11</v>
      </c>
      <c r="AG61" s="1">
        <v>0.503748</v>
      </c>
      <c r="AH61" s="2">
        <v>4.2549</v>
      </c>
      <c r="AI61" s="1">
        <v>38.3782346012083</v>
      </c>
      <c r="AJ61" s="1">
        <v>0.0866622647738528</v>
      </c>
      <c r="AK61" s="1">
        <v>0.311782080735149</v>
      </c>
      <c r="AL61" s="1">
        <v>0.394878788495593</v>
      </c>
      <c r="AM61" s="1">
        <v>0.559200565256889</v>
      </c>
      <c r="AN61" s="1">
        <v>1256</v>
      </c>
      <c r="AO61" s="1">
        <v>0.02348301</v>
      </c>
      <c r="AP61" s="1">
        <v>0.05424502</v>
      </c>
      <c r="AQ61" s="1">
        <v>0.02709305</v>
      </c>
      <c r="AR61" s="1">
        <v>0.02737158</v>
      </c>
      <c r="AS61" s="1">
        <v>0.05371671</v>
      </c>
      <c r="AT61" s="1">
        <v>0.031259</v>
      </c>
      <c r="AU61" s="1">
        <v>0</v>
      </c>
      <c r="AV61" s="1">
        <v>0.02479118</v>
      </c>
      <c r="AW61" s="1">
        <v>0.0429665</v>
      </c>
      <c r="AX61" s="1">
        <v>0.03195872</v>
      </c>
      <c r="AY61" s="1">
        <v>0.02314868</v>
      </c>
      <c r="AZ61" s="1">
        <v>1351</v>
      </c>
      <c r="BA61" s="1">
        <v>21</v>
      </c>
      <c r="BB61" s="1">
        <f t="shared" si="1"/>
        <v>7.2086003379602</v>
      </c>
      <c r="BC61" s="1">
        <v>0.00059</v>
      </c>
      <c r="BD61" s="1">
        <v>554.19</v>
      </c>
      <c r="BE61" s="1">
        <v>0.991442871054929</v>
      </c>
      <c r="BF61" s="1">
        <v>9361.3717051</v>
      </c>
      <c r="BG61" s="1">
        <v>0.4290072</v>
      </c>
      <c r="BH61" s="1">
        <v>3017.4415</v>
      </c>
      <c r="BI61" s="1">
        <f t="shared" si="2"/>
        <v>8.01216456587406</v>
      </c>
      <c r="BJ61" s="1">
        <v>3.9371</v>
      </c>
      <c r="BK61" s="1">
        <v>23663.31</v>
      </c>
      <c r="BL61" s="1">
        <v>38.3782346012083</v>
      </c>
      <c r="BM61" s="1">
        <v>389215</v>
      </c>
      <c r="BN61" s="1">
        <v>4670000</v>
      </c>
      <c r="BO61" s="1">
        <v>0.0833</v>
      </c>
      <c r="BP61" s="1">
        <v>0.229307</v>
      </c>
      <c r="BQ61" s="1">
        <v>38.378235</v>
      </c>
      <c r="BR61" s="1">
        <v>8805.38</v>
      </c>
      <c r="BS61" s="3">
        <v>1500000</v>
      </c>
    </row>
    <row r="62" spans="1:71">
      <c r="A62" s="1" t="s">
        <v>76</v>
      </c>
      <c r="B62" s="1">
        <v>6</v>
      </c>
      <c r="C62" s="1">
        <v>112.944</v>
      </c>
      <c r="D62" s="1">
        <v>23.0064</v>
      </c>
      <c r="E62" s="1">
        <v>2011</v>
      </c>
      <c r="F62" s="1">
        <v>0.55107428203208</v>
      </c>
      <c r="G62" s="1">
        <v>8.18065807225795</v>
      </c>
      <c r="H62" s="1">
        <v>4.41727311486095</v>
      </c>
      <c r="I62" s="1">
        <v>4.5277490390195</v>
      </c>
      <c r="J62" s="1">
        <v>4.34432476748987</v>
      </c>
      <c r="K62" s="1">
        <v>4.11838655670233</v>
      </c>
      <c r="L62" s="1">
        <v>0.338404</v>
      </c>
      <c r="M62" s="1">
        <v>7.07526772012238</v>
      </c>
      <c r="N62" s="1">
        <v>3.5263605</v>
      </c>
      <c r="O62" s="1">
        <v>11.4208430702582</v>
      </c>
      <c r="P62" s="1">
        <v>81.87</v>
      </c>
      <c r="Q62" s="1">
        <v>91.55</v>
      </c>
      <c r="R62" s="1">
        <v>76.04</v>
      </c>
      <c r="S62" s="1">
        <v>60.46</v>
      </c>
      <c r="T62" s="1">
        <v>196.99</v>
      </c>
      <c r="U62" s="1">
        <v>1181.36</v>
      </c>
      <c r="V62" s="1">
        <v>33</v>
      </c>
      <c r="W62" s="1">
        <v>91202</v>
      </c>
      <c r="X62" s="1">
        <v>0.597728835785662</v>
      </c>
      <c r="Y62" s="1">
        <v>5.22</v>
      </c>
      <c r="Z62" s="1">
        <v>0.636200000006079</v>
      </c>
      <c r="AA62" s="1">
        <v>7.55165800578486</v>
      </c>
      <c r="AB62" s="1">
        <f t="shared" si="0"/>
        <v>2.02176714256685</v>
      </c>
      <c r="AC62" s="1">
        <v>2.23880846267036</v>
      </c>
      <c r="AD62" s="1">
        <v>0.011886606189968</v>
      </c>
      <c r="AE62" s="1">
        <v>0.825991628463225</v>
      </c>
      <c r="AF62" s="1">
        <v>33</v>
      </c>
      <c r="AG62" s="1">
        <v>0.310124</v>
      </c>
      <c r="AH62" s="2">
        <v>5.28822</v>
      </c>
      <c r="AI62" s="1">
        <v>61.0729682260897</v>
      </c>
      <c r="AJ62" s="1">
        <v>1.92888682314664</v>
      </c>
      <c r="AK62" s="1">
        <v>1.38219954971644</v>
      </c>
      <c r="AL62" s="1">
        <v>1.41897991424058</v>
      </c>
      <c r="AM62" s="1">
        <v>1.41596380494889</v>
      </c>
      <c r="AN62" s="1">
        <v>979</v>
      </c>
      <c r="AO62" s="1">
        <v>0.10112454</v>
      </c>
      <c r="AP62" s="1">
        <v>0.03818728</v>
      </c>
      <c r="AQ62" s="1">
        <v>0.08213337</v>
      </c>
      <c r="AR62" s="1">
        <v>0.05617011</v>
      </c>
      <c r="AS62" s="1">
        <v>0.03921222</v>
      </c>
      <c r="AT62" s="1">
        <v>0.04682658</v>
      </c>
      <c r="AU62" s="1">
        <v>0.01271494</v>
      </c>
      <c r="AV62" s="1">
        <v>0.06002354</v>
      </c>
      <c r="AW62" s="1">
        <v>0.03375331</v>
      </c>
      <c r="AX62" s="1">
        <v>0.03206885</v>
      </c>
      <c r="AY62" s="1">
        <v>0</v>
      </c>
      <c r="AZ62" s="1">
        <v>3847</v>
      </c>
      <c r="BA62" s="1">
        <v>44.551</v>
      </c>
      <c r="BB62" s="1">
        <f t="shared" si="1"/>
        <v>8.25504890275229</v>
      </c>
      <c r="BC62" s="1">
        <v>0.000803</v>
      </c>
      <c r="BD62" s="1">
        <v>374.8</v>
      </c>
      <c r="BE62" s="1">
        <v>0.543538808822632</v>
      </c>
      <c r="BF62" s="1">
        <v>-2.128817</v>
      </c>
      <c r="BG62" s="1">
        <v>0.9525989</v>
      </c>
      <c r="BH62" s="1">
        <v>6231.403526</v>
      </c>
      <c r="BI62" s="1">
        <f t="shared" si="2"/>
        <v>8.73735687148086</v>
      </c>
      <c r="BJ62" s="1">
        <v>11.36835</v>
      </c>
      <c r="BK62" s="1">
        <v>36763.62</v>
      </c>
      <c r="BL62" s="1">
        <v>61.0729682260897</v>
      </c>
      <c r="BM62" s="1">
        <v>456892</v>
      </c>
      <c r="BN62" s="1">
        <v>5340000</v>
      </c>
      <c r="BO62" s="1">
        <v>0.0856</v>
      </c>
      <c r="BP62" s="1">
        <v>0.803928</v>
      </c>
      <c r="BQ62" s="1">
        <v>61.072968</v>
      </c>
      <c r="BR62" s="1">
        <v>30870.8</v>
      </c>
      <c r="BS62" s="3">
        <v>2300000</v>
      </c>
    </row>
    <row r="63" spans="1:71">
      <c r="A63" s="1" t="s">
        <v>76</v>
      </c>
      <c r="B63" s="1">
        <v>6</v>
      </c>
      <c r="C63" s="1">
        <v>112.944</v>
      </c>
      <c r="D63" s="1">
        <v>23.0064</v>
      </c>
      <c r="E63" s="1">
        <v>2012</v>
      </c>
      <c r="F63" s="1">
        <v>0.526488770645538</v>
      </c>
      <c r="G63" s="1">
        <v>8.07609458460867</v>
      </c>
      <c r="H63" s="1">
        <v>4.81478260301794</v>
      </c>
      <c r="I63" s="1">
        <v>4.85740641150557</v>
      </c>
      <c r="J63" s="1">
        <v>4.77609369782967</v>
      </c>
      <c r="K63" s="1">
        <v>4.73707525686803</v>
      </c>
      <c r="L63" s="1">
        <v>0.338404</v>
      </c>
      <c r="M63" s="1">
        <v>7.66251952989497</v>
      </c>
      <c r="N63" s="1">
        <v>4.0073333</v>
      </c>
      <c r="O63" s="1">
        <v>11.4214678544813</v>
      </c>
      <c r="P63" s="1">
        <v>122.32</v>
      </c>
      <c r="Q63" s="1">
        <v>127.69</v>
      </c>
      <c r="R63" s="1">
        <v>117.64</v>
      </c>
      <c r="S63" s="1">
        <v>113.1</v>
      </c>
      <c r="T63" s="1">
        <v>209.67</v>
      </c>
      <c r="U63" s="1">
        <v>2126.11</v>
      </c>
      <c r="V63" s="1">
        <v>54</v>
      </c>
      <c r="W63" s="1">
        <v>91259</v>
      </c>
      <c r="X63" s="1">
        <v>0.582830310053544</v>
      </c>
      <c r="Y63" s="1">
        <v>7.79</v>
      </c>
      <c r="Z63" s="1">
        <v>0.622</v>
      </c>
      <c r="AA63" s="1">
        <v>7.55590839858252</v>
      </c>
      <c r="AB63" s="1">
        <f t="shared" si="0"/>
        <v>2.02232982656188</v>
      </c>
      <c r="AC63" s="1">
        <v>2.40616321526694</v>
      </c>
      <c r="AD63" s="1">
        <v>0.0121202012178978</v>
      </c>
      <c r="AE63" s="1">
        <v>0.902097902097902</v>
      </c>
      <c r="AF63" s="1">
        <v>25</v>
      </c>
      <c r="AG63" s="1">
        <v>0.349248</v>
      </c>
      <c r="AH63" s="2">
        <v>5.35029</v>
      </c>
      <c r="AI63" s="1">
        <v>61.0729682260897</v>
      </c>
      <c r="AJ63" s="1">
        <v>1.92888682314664</v>
      </c>
      <c r="AK63" s="1">
        <v>1.38219954971644</v>
      </c>
      <c r="AL63" s="1">
        <v>1.41897991424058</v>
      </c>
      <c r="AM63" s="1">
        <v>1.41596380494889</v>
      </c>
      <c r="AN63" s="1">
        <v>979</v>
      </c>
      <c r="AO63" s="1">
        <v>0.10112454</v>
      </c>
      <c r="AP63" s="1">
        <v>0.03818728</v>
      </c>
      <c r="AQ63" s="1">
        <v>0.08213337</v>
      </c>
      <c r="AR63" s="1">
        <v>0.05617011</v>
      </c>
      <c r="AS63" s="1">
        <v>0.03921222</v>
      </c>
      <c r="AT63" s="1">
        <v>0.04682658</v>
      </c>
      <c r="AU63" s="1">
        <v>0.01271494</v>
      </c>
      <c r="AV63" s="1">
        <v>0.06002354</v>
      </c>
      <c r="AW63" s="1">
        <v>0.03375331</v>
      </c>
      <c r="AX63" s="1">
        <v>0.03206885</v>
      </c>
      <c r="AY63" s="1">
        <v>0</v>
      </c>
      <c r="AZ63" s="1">
        <v>4142</v>
      </c>
      <c r="BA63" s="1">
        <v>45.778</v>
      </c>
      <c r="BB63" s="1">
        <f t="shared" si="1"/>
        <v>8.32893404195553</v>
      </c>
      <c r="BC63" s="1">
        <v>0.000755</v>
      </c>
      <c r="BD63" s="1">
        <v>377.7</v>
      </c>
      <c r="BE63" s="1">
        <v>0.576045989990234</v>
      </c>
      <c r="BF63" s="1">
        <v>0.665327</v>
      </c>
      <c r="BG63" s="1">
        <v>0.8672946</v>
      </c>
      <c r="BH63" s="1">
        <v>6642.946408</v>
      </c>
      <c r="BI63" s="1">
        <f t="shared" si="2"/>
        <v>8.80131088019329</v>
      </c>
      <c r="BJ63" s="1">
        <v>11.36835</v>
      </c>
      <c r="BK63" s="1">
        <v>41249.54</v>
      </c>
      <c r="BL63" s="1">
        <v>61.0729682260897</v>
      </c>
      <c r="BM63" s="1">
        <v>456892</v>
      </c>
      <c r="BN63" s="1">
        <v>5340000</v>
      </c>
      <c r="BO63" s="1">
        <v>0.0856</v>
      </c>
      <c r="BP63" s="1">
        <v>0.803928</v>
      </c>
      <c r="BQ63" s="1">
        <v>61.072968</v>
      </c>
      <c r="BR63" s="1">
        <v>30870.8</v>
      </c>
      <c r="BS63" s="3">
        <v>2300000</v>
      </c>
    </row>
    <row r="64" spans="1:71">
      <c r="A64" s="1" t="s">
        <v>76</v>
      </c>
      <c r="B64" s="1">
        <v>6</v>
      </c>
      <c r="C64" s="1">
        <v>112.944</v>
      </c>
      <c r="D64" s="1">
        <v>23.0064</v>
      </c>
      <c r="E64" s="1">
        <v>2013</v>
      </c>
      <c r="F64" s="1">
        <v>0.406376748650428</v>
      </c>
      <c r="G64" s="1">
        <v>8.05358535310532</v>
      </c>
      <c r="H64" s="1">
        <v>5.09797439515626</v>
      </c>
      <c r="I64" s="1">
        <v>5.06474461974328</v>
      </c>
      <c r="J64" s="1">
        <v>5.0771718178965</v>
      </c>
      <c r="K64" s="1">
        <v>5.23351214318192</v>
      </c>
      <c r="L64" s="1">
        <v>0.338404</v>
      </c>
      <c r="M64" s="1">
        <v>4.67981372898385</v>
      </c>
      <c r="N64" s="1">
        <v>4.248495</v>
      </c>
      <c r="O64" s="1">
        <v>11.4753378176387</v>
      </c>
      <c r="P64" s="1">
        <v>162.69</v>
      </c>
      <c r="Q64" s="1">
        <v>157.34</v>
      </c>
      <c r="R64" s="1">
        <v>159.32</v>
      </c>
      <c r="S64" s="1">
        <v>186.45</v>
      </c>
      <c r="T64" s="1">
        <v>233.58</v>
      </c>
      <c r="U64" s="1">
        <v>106.75</v>
      </c>
      <c r="V64" s="1">
        <v>69</v>
      </c>
      <c r="W64" s="1">
        <v>96310</v>
      </c>
      <c r="X64" s="1">
        <v>0.564840219632256</v>
      </c>
      <c r="Y64" s="1">
        <v>8.54</v>
      </c>
      <c r="Z64" s="1">
        <v>0.6192</v>
      </c>
      <c r="AA64" s="1">
        <v>7.56056580009763</v>
      </c>
      <c r="AB64" s="1">
        <f t="shared" si="0"/>
        <v>2.02294602867373</v>
      </c>
      <c r="AC64" s="1">
        <v>2.63879840332032</v>
      </c>
      <c r="AD64" s="1">
        <v>0.012394392033543</v>
      </c>
      <c r="AE64" s="1">
        <v>0.834335955576122</v>
      </c>
      <c r="AF64" s="1">
        <v>8</v>
      </c>
      <c r="AG64" s="1">
        <v>0.342804</v>
      </c>
      <c r="AH64" s="2">
        <v>5.4578</v>
      </c>
      <c r="AI64" s="1">
        <v>61.0729682260897</v>
      </c>
      <c r="AJ64" s="1">
        <v>1.92888682314664</v>
      </c>
      <c r="AK64" s="1">
        <v>1.38219954971644</v>
      </c>
      <c r="AL64" s="1">
        <v>1.41897991424058</v>
      </c>
      <c r="AM64" s="1">
        <v>1.41596380494889</v>
      </c>
      <c r="AN64" s="1">
        <v>979</v>
      </c>
      <c r="AO64" s="1">
        <v>0.10112454</v>
      </c>
      <c r="AP64" s="1">
        <v>0.03818728</v>
      </c>
      <c r="AQ64" s="1">
        <v>0.08213337</v>
      </c>
      <c r="AR64" s="1">
        <v>0.05617011</v>
      </c>
      <c r="AS64" s="1">
        <v>0.03921222</v>
      </c>
      <c r="AT64" s="1">
        <v>0.04682658</v>
      </c>
      <c r="AU64" s="1">
        <v>0.01271494</v>
      </c>
      <c r="AV64" s="1">
        <v>0.06002354</v>
      </c>
      <c r="AW64" s="1">
        <v>0.03375331</v>
      </c>
      <c r="AX64" s="1">
        <v>0.03206885</v>
      </c>
      <c r="AY64" s="1">
        <v>0</v>
      </c>
      <c r="AZ64" s="1">
        <v>5395</v>
      </c>
      <c r="BA64" s="1">
        <v>47.3</v>
      </c>
      <c r="BB64" s="1">
        <f t="shared" si="1"/>
        <v>8.59322787769224</v>
      </c>
      <c r="BC64" s="1">
        <v>0</v>
      </c>
      <c r="BD64" s="1">
        <v>381.6</v>
      </c>
      <c r="BE64" s="1">
        <v>0.583009660243988</v>
      </c>
      <c r="BF64" s="1">
        <v>2.995158</v>
      </c>
      <c r="BG64" s="1">
        <v>0.518374</v>
      </c>
      <c r="BH64" s="1">
        <v>7064.29678207934</v>
      </c>
      <c r="BI64" s="1">
        <f t="shared" si="2"/>
        <v>8.8628087547194</v>
      </c>
      <c r="BJ64" s="1">
        <v>11.36835</v>
      </c>
      <c r="BK64" s="1">
        <v>45341.53</v>
      </c>
      <c r="BL64" s="1">
        <v>61.0729682260897</v>
      </c>
      <c r="BM64" s="1">
        <v>456892</v>
      </c>
      <c r="BN64" s="1">
        <v>5340000</v>
      </c>
      <c r="BO64" s="1">
        <v>0.0856</v>
      </c>
      <c r="BP64" s="1">
        <v>0.803928</v>
      </c>
      <c r="BQ64" s="1">
        <v>61.072968</v>
      </c>
      <c r="BR64" s="1">
        <v>30870.8</v>
      </c>
      <c r="BS64" s="3">
        <v>2300000</v>
      </c>
    </row>
    <row r="65" spans="1:71">
      <c r="A65" s="1" t="s">
        <v>76</v>
      </c>
      <c r="B65" s="1">
        <v>6</v>
      </c>
      <c r="C65" s="1">
        <v>112.944</v>
      </c>
      <c r="D65" s="1">
        <v>23.0064</v>
      </c>
      <c r="E65" s="1">
        <v>2014</v>
      </c>
      <c r="F65" s="1">
        <v>0.412361182582243</v>
      </c>
      <c r="G65" s="1">
        <v>8.10801026467715</v>
      </c>
      <c r="H65" s="1">
        <v>5.14975935190688</v>
      </c>
      <c r="I65" s="1">
        <v>5.24280465661777</v>
      </c>
      <c r="J65" s="1">
        <v>4.99247132346858</v>
      </c>
      <c r="K65" s="1">
        <v>5.09061646141468</v>
      </c>
      <c r="L65" s="1">
        <v>0.338404</v>
      </c>
      <c r="M65" s="1">
        <v>7.55355400560882</v>
      </c>
      <c r="N65" s="1">
        <v>4.2341065</v>
      </c>
      <c r="O65" s="1">
        <v>11.5289759637889</v>
      </c>
      <c r="P65" s="1">
        <v>171.39</v>
      </c>
      <c r="Q65" s="1">
        <v>188.2</v>
      </c>
      <c r="R65" s="1">
        <v>146.3</v>
      </c>
      <c r="S65" s="1">
        <v>161.49</v>
      </c>
      <c r="T65" s="1">
        <v>247.12</v>
      </c>
      <c r="U65" s="1">
        <v>1906.51</v>
      </c>
      <c r="V65" s="1">
        <v>68</v>
      </c>
      <c r="W65" s="1">
        <v>101617</v>
      </c>
      <c r="X65" s="1">
        <v>0.567973331109439</v>
      </c>
      <c r="Y65" s="1">
        <v>6.02</v>
      </c>
      <c r="Z65" s="1">
        <v>0.618400000005375</v>
      </c>
      <c r="AA65" s="1">
        <v>7.56806260913809</v>
      </c>
      <c r="AB65" s="1">
        <f t="shared" si="0"/>
        <v>2.02393710459301</v>
      </c>
      <c r="AC65" s="1">
        <v>2.53593680412305</v>
      </c>
      <c r="AD65" s="1">
        <v>0.0121125518672199</v>
      </c>
      <c r="AE65" s="1">
        <v>0.892660447341801</v>
      </c>
      <c r="AF65" s="1">
        <v>28</v>
      </c>
      <c r="AG65" s="1">
        <v>0.397868</v>
      </c>
      <c r="AH65" s="2">
        <v>5.51391</v>
      </c>
      <c r="AI65" s="1">
        <v>61.0729682260897</v>
      </c>
      <c r="AJ65" s="1">
        <v>1.92888682314664</v>
      </c>
      <c r="AK65" s="1">
        <v>1.38219954971644</v>
      </c>
      <c r="AL65" s="1">
        <v>1.41897991424058</v>
      </c>
      <c r="AM65" s="1">
        <v>1.41596380494889</v>
      </c>
      <c r="AN65" s="1">
        <v>979</v>
      </c>
      <c r="AO65" s="1">
        <v>0.10112454</v>
      </c>
      <c r="AP65" s="1">
        <v>0.03818728</v>
      </c>
      <c r="AQ65" s="1">
        <v>0.08213337</v>
      </c>
      <c r="AR65" s="1">
        <v>0.05617011</v>
      </c>
      <c r="AS65" s="1">
        <v>0.03921222</v>
      </c>
      <c r="AT65" s="1">
        <v>0.04682658</v>
      </c>
      <c r="AU65" s="1">
        <v>0.01271494</v>
      </c>
      <c r="AV65" s="1">
        <v>0.06002354</v>
      </c>
      <c r="AW65" s="1">
        <v>0.03375331</v>
      </c>
      <c r="AX65" s="1">
        <v>0.03206885</v>
      </c>
      <c r="AY65" s="1">
        <v>0</v>
      </c>
      <c r="AZ65" s="1">
        <v>7537</v>
      </c>
      <c r="BA65" s="1">
        <v>46.706</v>
      </c>
      <c r="BB65" s="1">
        <f t="shared" si="1"/>
        <v>8.92757950384347</v>
      </c>
      <c r="BC65" s="1">
        <v>0.000483</v>
      </c>
      <c r="BD65" s="1">
        <v>849.6</v>
      </c>
      <c r="BE65" s="1">
        <v>0.587969303131104</v>
      </c>
      <c r="BF65" s="1">
        <v>-2.121702</v>
      </c>
      <c r="BG65" s="1">
        <v>0.963568</v>
      </c>
      <c r="BH65" s="1">
        <v>7509.96366948489</v>
      </c>
      <c r="BI65" s="1">
        <f t="shared" si="2"/>
        <v>8.92398590712796</v>
      </c>
      <c r="BJ65" s="1">
        <v>11.36835</v>
      </c>
      <c r="BK65" s="1">
        <v>49648.98</v>
      </c>
      <c r="BL65" s="1">
        <v>61.0729682260897</v>
      </c>
      <c r="BM65" s="1">
        <v>456892</v>
      </c>
      <c r="BN65" s="1">
        <v>5340000</v>
      </c>
      <c r="BO65" s="1">
        <v>0.0856</v>
      </c>
      <c r="BP65" s="1">
        <v>0.803928</v>
      </c>
      <c r="BQ65" s="1">
        <v>61.072968</v>
      </c>
      <c r="BR65" s="1">
        <v>30870.8</v>
      </c>
      <c r="BS65" s="3">
        <v>2300000</v>
      </c>
    </row>
    <row r="66" spans="1:71">
      <c r="A66" s="1" t="s">
        <v>76</v>
      </c>
      <c r="B66" s="1">
        <v>6</v>
      </c>
      <c r="C66" s="1">
        <v>112.944</v>
      </c>
      <c r="D66" s="1">
        <v>23.0064</v>
      </c>
      <c r="E66" s="1">
        <v>2015</v>
      </c>
      <c r="F66" s="1">
        <v>0.425920771199539</v>
      </c>
      <c r="G66" s="1">
        <v>8.11088461659001</v>
      </c>
      <c r="H66" s="1">
        <v>5.30846569759985</v>
      </c>
      <c r="I66" s="1">
        <v>5.35171594327273</v>
      </c>
      <c r="J66" s="1">
        <v>5.12580751713807</v>
      </c>
      <c r="K66" s="1">
        <v>5.45455158857867</v>
      </c>
      <c r="L66" s="1">
        <v>0.338404</v>
      </c>
      <c r="M66" s="1">
        <v>7.627578469752</v>
      </c>
      <c r="N66" s="1">
        <v>4.89784</v>
      </c>
      <c r="O66" s="1">
        <v>11.592660432989</v>
      </c>
      <c r="P66" s="1">
        <v>201.04</v>
      </c>
      <c r="Q66" s="1">
        <v>209.97</v>
      </c>
      <c r="R66" s="1">
        <v>167.31</v>
      </c>
      <c r="S66" s="1">
        <v>232.82</v>
      </c>
      <c r="T66" s="1">
        <v>238.88</v>
      </c>
      <c r="U66" s="1">
        <v>2053.07</v>
      </c>
      <c r="V66" s="1">
        <v>133</v>
      </c>
      <c r="W66" s="1">
        <v>108299</v>
      </c>
      <c r="X66" s="1">
        <v>0.510649870926973</v>
      </c>
      <c r="Y66" s="1">
        <v>11.35</v>
      </c>
      <c r="Z66" s="1">
        <v>0.604600000004998</v>
      </c>
      <c r="AA66" s="1">
        <v>7.73007669051842</v>
      </c>
      <c r="AB66" s="1">
        <f t="shared" si="0"/>
        <v>2.04511878370386</v>
      </c>
      <c r="AC66" s="1">
        <v>2.47606286250837</v>
      </c>
      <c r="AD66" s="1">
        <v>0.0126989227961025</v>
      </c>
      <c r="AE66" s="1">
        <v>0.826600857254189</v>
      </c>
      <c r="AF66" s="1">
        <v>82</v>
      </c>
      <c r="AG66" s="1">
        <v>0.41622</v>
      </c>
      <c r="AH66" s="2">
        <v>5.48014</v>
      </c>
      <c r="AI66" s="1">
        <v>61.0729682260897</v>
      </c>
      <c r="AJ66" s="1">
        <v>1.92888682314664</v>
      </c>
      <c r="AK66" s="1">
        <v>1.38219954971644</v>
      </c>
      <c r="AL66" s="1">
        <v>1.41897991424058</v>
      </c>
      <c r="AM66" s="1">
        <v>1.41596380494889</v>
      </c>
      <c r="AN66" s="1">
        <v>979</v>
      </c>
      <c r="AO66" s="1">
        <v>0.10112454</v>
      </c>
      <c r="AP66" s="1">
        <v>0.03818728</v>
      </c>
      <c r="AQ66" s="1">
        <v>0.08213337</v>
      </c>
      <c r="AR66" s="1">
        <v>0.05617011</v>
      </c>
      <c r="AS66" s="1">
        <v>0.03921222</v>
      </c>
      <c r="AT66" s="1">
        <v>0.04682658</v>
      </c>
      <c r="AU66" s="1">
        <v>0.01271494</v>
      </c>
      <c r="AV66" s="1">
        <v>0.06002354</v>
      </c>
      <c r="AW66" s="1">
        <v>0.03375331</v>
      </c>
      <c r="AX66" s="1">
        <v>0.03206885</v>
      </c>
      <c r="AY66" s="1">
        <v>0</v>
      </c>
      <c r="AZ66" s="1">
        <v>10637</v>
      </c>
      <c r="BA66" s="1">
        <v>49.395</v>
      </c>
      <c r="BB66" s="1">
        <f t="shared" si="1"/>
        <v>9.27209376825167</v>
      </c>
      <c r="BC66" s="1">
        <v>0.00131</v>
      </c>
      <c r="BD66" s="1">
        <v>864.34</v>
      </c>
      <c r="BE66" s="1">
        <v>0.59499204158783</v>
      </c>
      <c r="BF66" s="1">
        <v>4.62966</v>
      </c>
      <c r="BG66" s="1">
        <v>1.1224991</v>
      </c>
      <c r="BH66" s="1">
        <v>8107.59784305996</v>
      </c>
      <c r="BI66" s="1">
        <f t="shared" si="2"/>
        <v>9.0005569063245</v>
      </c>
      <c r="BJ66" s="1">
        <v>11.36835</v>
      </c>
      <c r="BK66" s="1">
        <v>52154.82</v>
      </c>
      <c r="BL66" s="1">
        <v>61.0729682260897</v>
      </c>
      <c r="BM66" s="1">
        <v>456892</v>
      </c>
      <c r="BN66" s="1">
        <v>5340000</v>
      </c>
      <c r="BO66" s="1">
        <v>0.0856</v>
      </c>
      <c r="BP66" s="1">
        <v>0.803928</v>
      </c>
      <c r="BQ66" s="1">
        <v>61.072968</v>
      </c>
      <c r="BR66" s="1">
        <v>30870.8</v>
      </c>
      <c r="BS66" s="3">
        <v>2300000</v>
      </c>
    </row>
    <row r="67" spans="1:71">
      <c r="A67" s="1" t="s">
        <v>76</v>
      </c>
      <c r="B67" s="1">
        <v>6</v>
      </c>
      <c r="C67" s="1">
        <v>112.944</v>
      </c>
      <c r="D67" s="1">
        <v>23.0064</v>
      </c>
      <c r="E67" s="1">
        <v>2016</v>
      </c>
      <c r="F67" s="1">
        <v>0.433268496070873</v>
      </c>
      <c r="G67" s="1">
        <v>8.12353342029577</v>
      </c>
      <c r="H67" s="1">
        <v>5.39108721516888</v>
      </c>
      <c r="I67" s="1">
        <v>5.39744854023043</v>
      </c>
      <c r="J67" s="1">
        <v>5.38547055060756</v>
      </c>
      <c r="K67" s="1">
        <v>5.38019484430873</v>
      </c>
      <c r="L67" s="1">
        <v>0.338404</v>
      </c>
      <c r="M67" s="1">
        <v>7.49725159271259</v>
      </c>
      <c r="N67" s="1">
        <v>5.236442</v>
      </c>
      <c r="O67" s="1">
        <v>11.6604140019239</v>
      </c>
      <c r="P67" s="1">
        <v>218.441836419914</v>
      </c>
      <c r="Q67" s="1">
        <v>219.842226708413</v>
      </c>
      <c r="R67" s="1">
        <v>217.212760068902</v>
      </c>
      <c r="S67" s="1">
        <v>216.064565143347</v>
      </c>
      <c r="T67" s="1">
        <v>251.02</v>
      </c>
      <c r="U67" s="1">
        <v>1802.08</v>
      </c>
      <c r="V67" s="1">
        <v>187</v>
      </c>
      <c r="W67" s="1">
        <v>115891</v>
      </c>
      <c r="X67" s="1">
        <v>0.478667428072597</v>
      </c>
      <c r="Y67" s="1">
        <v>5.32</v>
      </c>
      <c r="Z67" s="1">
        <v>0.596300000004635</v>
      </c>
      <c r="AA67" s="1">
        <v>7.74207147526571</v>
      </c>
      <c r="AB67" s="1">
        <f t="shared" ref="AB67:AB130" si="3">LN(AA67)</f>
        <v>2.04666928425773</v>
      </c>
      <c r="AC67" s="1">
        <v>2.46873943293767</v>
      </c>
      <c r="AD67" s="1">
        <v>0.0124985</v>
      </c>
      <c r="AE67" s="1">
        <v>0.851198129748685</v>
      </c>
      <c r="AF67" s="1">
        <v>55</v>
      </c>
      <c r="AG67" s="1">
        <v>0.406728</v>
      </c>
      <c r="AH67" s="2">
        <v>5.52951</v>
      </c>
      <c r="AI67" s="1">
        <v>61.0729682260897</v>
      </c>
      <c r="AJ67" s="1">
        <v>1.92888682314664</v>
      </c>
      <c r="AK67" s="1">
        <v>1.38219954971644</v>
      </c>
      <c r="AL67" s="1">
        <v>1.41897991424058</v>
      </c>
      <c r="AM67" s="1">
        <v>1.41596380494889</v>
      </c>
      <c r="AN67" s="1">
        <v>979</v>
      </c>
      <c r="AO67" s="1">
        <v>0.10112454</v>
      </c>
      <c r="AP67" s="1">
        <v>0.03818728</v>
      </c>
      <c r="AQ67" s="1">
        <v>0.08213337</v>
      </c>
      <c r="AR67" s="1">
        <v>0.05617011</v>
      </c>
      <c r="AS67" s="1">
        <v>0.03921222</v>
      </c>
      <c r="AT67" s="1">
        <v>0.04682658</v>
      </c>
      <c r="AU67" s="1">
        <v>0.01271494</v>
      </c>
      <c r="AV67" s="1">
        <v>0.06002354</v>
      </c>
      <c r="AW67" s="1">
        <v>0.03375331</v>
      </c>
      <c r="AX67" s="1">
        <v>0.03206885</v>
      </c>
      <c r="AY67" s="1">
        <v>0</v>
      </c>
      <c r="AZ67" s="1">
        <v>13410</v>
      </c>
      <c r="BA67" s="1">
        <v>49.994</v>
      </c>
      <c r="BB67" s="1">
        <f t="shared" ref="BB67:BB130" si="4">LN(AZ67)</f>
        <v>9.50375597627573</v>
      </c>
      <c r="BC67" s="1">
        <v>0.000468</v>
      </c>
      <c r="BD67" s="1">
        <v>874.77</v>
      </c>
      <c r="BE67" s="1">
        <v>0.623152136802673</v>
      </c>
      <c r="BF67" s="1">
        <v>45.105439</v>
      </c>
      <c r="BG67" s="1">
        <v>0.7829462</v>
      </c>
      <c r="BH67" s="1">
        <v>8756.309379</v>
      </c>
      <c r="BI67" s="1">
        <f t="shared" ref="BI67:BI130" si="5">LN(BH67)</f>
        <v>9.07752979138995</v>
      </c>
      <c r="BJ67" s="1">
        <v>11.36835</v>
      </c>
      <c r="BK67" s="1">
        <v>55331.14</v>
      </c>
      <c r="BL67" s="1">
        <v>61.0729682260897</v>
      </c>
      <c r="BM67" s="1">
        <v>456892</v>
      </c>
      <c r="BN67" s="1">
        <v>5340000</v>
      </c>
      <c r="BO67" s="1">
        <v>0.0856</v>
      </c>
      <c r="BP67" s="1">
        <v>0.803928</v>
      </c>
      <c r="BQ67" s="1">
        <v>61.072968</v>
      </c>
      <c r="BR67" s="1">
        <v>30870.8</v>
      </c>
      <c r="BS67" s="3">
        <v>2300000</v>
      </c>
    </row>
    <row r="68" spans="1:71">
      <c r="A68" s="1" t="s">
        <v>76</v>
      </c>
      <c r="B68" s="1">
        <v>6</v>
      </c>
      <c r="C68" s="1">
        <v>112.944</v>
      </c>
      <c r="D68" s="1">
        <v>23.0064</v>
      </c>
      <c r="E68" s="1">
        <v>2017</v>
      </c>
      <c r="F68" s="1">
        <v>0.447420151793761</v>
      </c>
      <c r="G68" s="1">
        <v>7.88392619903899</v>
      </c>
      <c r="H68" s="1">
        <v>5.5279356844479</v>
      </c>
      <c r="I68" s="1">
        <v>5.48237773697896</v>
      </c>
      <c r="J68" s="1">
        <v>5.60371877716712</v>
      </c>
      <c r="K68" s="1">
        <v>5.53198249898625</v>
      </c>
      <c r="L68" s="1">
        <v>0.338404</v>
      </c>
      <c r="M68" s="1">
        <v>8.99080156575455</v>
      </c>
      <c r="N68" s="1">
        <v>5.57973</v>
      </c>
      <c r="O68" s="1">
        <v>11.7306538269771</v>
      </c>
      <c r="P68" s="1">
        <v>250.623943344642</v>
      </c>
      <c r="Q68" s="1">
        <v>239.417678342898</v>
      </c>
      <c r="R68" s="1">
        <v>270.433935153336</v>
      </c>
      <c r="S68" s="1">
        <v>251.644281917125</v>
      </c>
      <c r="T68" s="1">
        <v>264.57</v>
      </c>
      <c r="U68" s="1">
        <v>8027.89</v>
      </c>
      <c r="V68" s="1">
        <v>264</v>
      </c>
      <c r="W68" s="1">
        <v>124323.9308</v>
      </c>
      <c r="X68" s="1">
        <v>0.463626375405939</v>
      </c>
      <c r="Y68" s="1">
        <v>13.77</v>
      </c>
      <c r="Z68" s="4">
        <v>0.5875</v>
      </c>
      <c r="AA68" s="1">
        <v>7.77049413275542</v>
      </c>
      <c r="AB68" s="1">
        <f t="shared" si="3"/>
        <v>2.0503337573067</v>
      </c>
      <c r="AC68" s="1">
        <v>2.42268685986837</v>
      </c>
      <c r="AD68" s="1">
        <v>0.0289716666666667</v>
      </c>
      <c r="AE68" s="1">
        <v>0.858226371061844</v>
      </c>
      <c r="AF68" s="1">
        <v>254</v>
      </c>
      <c r="AG68" s="1">
        <v>0.376142</v>
      </c>
      <c r="AH68" s="2">
        <v>5.58188</v>
      </c>
      <c r="AI68" s="1">
        <v>61.0729682260897</v>
      </c>
      <c r="AJ68" s="1">
        <v>1.92888682314664</v>
      </c>
      <c r="AK68" s="1">
        <v>1.38219954971644</v>
      </c>
      <c r="AL68" s="1">
        <v>1.41897991424058</v>
      </c>
      <c r="AM68" s="1">
        <v>1.41596380494889</v>
      </c>
      <c r="AN68" s="1">
        <v>979</v>
      </c>
      <c r="AO68" s="1">
        <v>0.10112454</v>
      </c>
      <c r="AP68" s="1">
        <v>0.03818728</v>
      </c>
      <c r="AQ68" s="1">
        <v>0.08213337</v>
      </c>
      <c r="AR68" s="1">
        <v>0.05617011</v>
      </c>
      <c r="AS68" s="1">
        <v>0.03921222</v>
      </c>
      <c r="AT68" s="1">
        <v>0.04682658</v>
      </c>
      <c r="AU68" s="1">
        <v>0.01271494</v>
      </c>
      <c r="AV68" s="1">
        <v>0.06002354</v>
      </c>
      <c r="AW68" s="1">
        <v>0.03375331</v>
      </c>
      <c r="AX68" s="1">
        <v>0.03206885</v>
      </c>
      <c r="AY68" s="1">
        <v>0</v>
      </c>
      <c r="AZ68" s="1">
        <v>21671</v>
      </c>
      <c r="BA68" s="1">
        <v>122.005</v>
      </c>
      <c r="BB68" s="1">
        <f t="shared" si="4"/>
        <v>9.98373024021233</v>
      </c>
      <c r="BC68" s="1">
        <v>0.000581</v>
      </c>
      <c r="BD68" s="1">
        <v>899.99</v>
      </c>
      <c r="BE68" s="1">
        <v>0.692100167274475</v>
      </c>
      <c r="BF68" s="1">
        <v>298.040542</v>
      </c>
      <c r="BG68" s="1">
        <v>0.9099775</v>
      </c>
      <c r="BH68" s="1">
        <v>9382.157562</v>
      </c>
      <c r="BI68" s="1">
        <f t="shared" si="5"/>
        <v>9.14656503282114</v>
      </c>
      <c r="BJ68" s="1">
        <v>11.36835</v>
      </c>
      <c r="BK68" s="1">
        <v>58787.22</v>
      </c>
      <c r="BL68" s="1">
        <v>61.0729682260897</v>
      </c>
      <c r="BM68" s="1">
        <v>456892</v>
      </c>
      <c r="BN68" s="1">
        <v>5340000</v>
      </c>
      <c r="BO68" s="1">
        <v>0.0856</v>
      </c>
      <c r="BP68" s="1">
        <v>0.803928</v>
      </c>
      <c r="BQ68" s="1">
        <v>61.072968</v>
      </c>
      <c r="BR68" s="1">
        <v>30870.8</v>
      </c>
      <c r="BS68" s="3">
        <v>2300000</v>
      </c>
    </row>
    <row r="69" spans="1:71">
      <c r="A69" s="1" t="s">
        <v>76</v>
      </c>
      <c r="B69" s="1">
        <v>6</v>
      </c>
      <c r="C69" s="1">
        <v>112.944</v>
      </c>
      <c r="D69" s="1">
        <v>23.0064</v>
      </c>
      <c r="E69" s="1">
        <v>2018</v>
      </c>
      <c r="F69" s="1">
        <v>0.458567526188715</v>
      </c>
      <c r="G69" s="1">
        <v>7.91641453112872</v>
      </c>
      <c r="H69" s="1">
        <v>5.59281459150155</v>
      </c>
      <c r="I69" s="1">
        <v>5.55774209712371</v>
      </c>
      <c r="J69" s="1">
        <v>5.58770113654091</v>
      </c>
      <c r="K69" s="1">
        <v>5.70893460428024</v>
      </c>
      <c r="L69" s="1">
        <v>0.338404</v>
      </c>
      <c r="M69" s="1">
        <v>8.07633818321186</v>
      </c>
      <c r="N69" s="1">
        <v>5.7037826</v>
      </c>
      <c r="O69" s="1">
        <v>11.7573763932297</v>
      </c>
      <c r="P69" s="1">
        <v>267.490247551534</v>
      </c>
      <c r="Q69" s="1">
        <v>258.236843439371</v>
      </c>
      <c r="R69" s="1">
        <v>266.120839020244</v>
      </c>
      <c r="S69" s="1">
        <v>300.549627388103</v>
      </c>
      <c r="T69" s="1">
        <v>274.87</v>
      </c>
      <c r="U69" s="1">
        <v>3216.43</v>
      </c>
      <c r="V69" s="1">
        <v>299</v>
      </c>
      <c r="W69" s="1">
        <v>127691</v>
      </c>
      <c r="X69" s="1">
        <v>0.462897892985773</v>
      </c>
      <c r="Y69" s="1">
        <v>5.46</v>
      </c>
      <c r="Z69" s="1">
        <v>0.565</v>
      </c>
      <c r="AA69" s="1">
        <v>7.79902791086146</v>
      </c>
      <c r="AB69" s="1">
        <f t="shared" si="3"/>
        <v>2.05399909911635</v>
      </c>
      <c r="AC69" s="1">
        <v>2.54979907425454</v>
      </c>
      <c r="AD69" s="1">
        <v>0.0282780320366133</v>
      </c>
      <c r="AE69" s="1">
        <v>1.01109619686801</v>
      </c>
      <c r="AF69" s="1">
        <v>138</v>
      </c>
      <c r="AG69" s="1">
        <v>0.431832</v>
      </c>
      <c r="AH69" s="2">
        <v>5.61993</v>
      </c>
      <c r="AI69" s="1">
        <v>61.0729682260897</v>
      </c>
      <c r="AJ69" s="1">
        <v>1.92888682314664</v>
      </c>
      <c r="AK69" s="1">
        <v>1.38219954971644</v>
      </c>
      <c r="AL69" s="1">
        <v>1.41897991424058</v>
      </c>
      <c r="AM69" s="1">
        <v>1.41596380494889</v>
      </c>
      <c r="AN69" s="1">
        <v>979</v>
      </c>
      <c r="AO69" s="1">
        <v>0.10112454</v>
      </c>
      <c r="AP69" s="1">
        <v>0.03818728</v>
      </c>
      <c r="AQ69" s="1">
        <v>0.08213337</v>
      </c>
      <c r="AR69" s="1">
        <v>0.05617011</v>
      </c>
      <c r="AS69" s="1">
        <v>0.03921222</v>
      </c>
      <c r="AT69" s="1">
        <v>0.04682658</v>
      </c>
      <c r="AU69" s="1">
        <v>0.01271494</v>
      </c>
      <c r="AV69" s="1">
        <v>0.06002354</v>
      </c>
      <c r="AW69" s="1">
        <v>0.03375331</v>
      </c>
      <c r="AX69" s="1">
        <v>0.03206885</v>
      </c>
      <c r="AY69" s="1">
        <v>0</v>
      </c>
      <c r="AZ69" s="1">
        <v>25029</v>
      </c>
      <c r="BA69" s="1">
        <v>123.575</v>
      </c>
      <c r="BB69" s="1">
        <f t="shared" si="4"/>
        <v>10.1277904315702</v>
      </c>
      <c r="BC69" s="1">
        <v>0.000808</v>
      </c>
      <c r="BD69" s="1">
        <v>926.04</v>
      </c>
      <c r="BE69" s="1">
        <v>0.736054956912994</v>
      </c>
      <c r="BF69" s="1">
        <v>26.406456</v>
      </c>
      <c r="BG69" s="1">
        <v>2.9792907</v>
      </c>
      <c r="BH69" s="1">
        <v>9976.7166</v>
      </c>
      <c r="BI69" s="1">
        <f t="shared" si="5"/>
        <v>9.2080093171778</v>
      </c>
      <c r="BJ69" s="1">
        <v>11.36835</v>
      </c>
      <c r="BK69" s="1">
        <v>62061.62</v>
      </c>
      <c r="BL69" s="1">
        <v>61.0729682260897</v>
      </c>
      <c r="BM69" s="1">
        <v>456892</v>
      </c>
      <c r="BN69" s="1">
        <v>5340000</v>
      </c>
      <c r="BO69" s="1">
        <v>0.0856</v>
      </c>
      <c r="BP69" s="1">
        <v>0.803928</v>
      </c>
      <c r="BQ69" s="1">
        <v>61.072968</v>
      </c>
      <c r="BR69" s="1">
        <v>30870.8</v>
      </c>
      <c r="BS69" s="3">
        <v>2300000</v>
      </c>
    </row>
    <row r="70" spans="1:71">
      <c r="A70" s="1" t="s">
        <v>76</v>
      </c>
      <c r="B70" s="1">
        <v>6</v>
      </c>
      <c r="C70" s="1">
        <v>112.944</v>
      </c>
      <c r="D70" s="1">
        <v>23.0064</v>
      </c>
      <c r="E70" s="1">
        <v>2019</v>
      </c>
      <c r="F70" s="1">
        <v>0.479352515272538</v>
      </c>
      <c r="G70" s="1">
        <v>7.85397289097992</v>
      </c>
      <c r="H70" s="1">
        <v>5.64311678220471</v>
      </c>
      <c r="I70" s="1">
        <v>5.6205019461156</v>
      </c>
      <c r="J70" s="1">
        <v>5.62870345364864</v>
      </c>
      <c r="K70" s="1">
        <v>5.73833621376697</v>
      </c>
      <c r="L70" s="1">
        <v>0.338404</v>
      </c>
      <c r="M70" s="1">
        <v>7.72536977222705</v>
      </c>
      <c r="N70" s="1">
        <v>5.529429</v>
      </c>
      <c r="O70" s="1">
        <v>11.8044816615527</v>
      </c>
      <c r="P70" s="1">
        <v>281.341344954242</v>
      </c>
      <c r="Q70" s="1">
        <v>275.027899645578</v>
      </c>
      <c r="R70" s="1">
        <v>277.301053373203</v>
      </c>
      <c r="S70" s="1">
        <v>309.547296639242</v>
      </c>
      <c r="T70" s="1">
        <v>291.5</v>
      </c>
      <c r="U70" s="1">
        <v>2264.09</v>
      </c>
      <c r="V70" s="1">
        <v>251</v>
      </c>
      <c r="W70" s="1">
        <v>133849.8851</v>
      </c>
      <c r="X70" s="1">
        <v>0.44903631733295</v>
      </c>
      <c r="Y70" s="1">
        <v>8.9</v>
      </c>
      <c r="Z70" s="1">
        <v>0.5622</v>
      </c>
      <c r="AA70" s="1">
        <v>7.81732521457215</v>
      </c>
      <c r="AB70" s="1">
        <f t="shared" si="3"/>
        <v>2.05634245187441</v>
      </c>
      <c r="AC70" s="1">
        <v>2.67118027413855</v>
      </c>
      <c r="AD70" s="1">
        <v>0.0279114967462039</v>
      </c>
      <c r="AE70" s="1">
        <v>0.903971052143255</v>
      </c>
      <c r="AF70" s="1">
        <v>69</v>
      </c>
      <c r="AG70" s="1">
        <v>0.412386</v>
      </c>
      <c r="AH70" s="2">
        <v>5.67846</v>
      </c>
      <c r="AI70" s="1">
        <v>61.0729682260897</v>
      </c>
      <c r="AJ70" s="1">
        <v>1.92888682314664</v>
      </c>
      <c r="AK70" s="1">
        <v>1.38219954971644</v>
      </c>
      <c r="AL70" s="1">
        <v>1.41897991424058</v>
      </c>
      <c r="AM70" s="1">
        <v>1.41596380494889</v>
      </c>
      <c r="AN70" s="1">
        <v>979</v>
      </c>
      <c r="AO70" s="1">
        <v>0.10112454</v>
      </c>
      <c r="AP70" s="1">
        <v>0.03818728</v>
      </c>
      <c r="AQ70" s="1">
        <v>0.08213337</v>
      </c>
      <c r="AR70" s="1">
        <v>0.05617011</v>
      </c>
      <c r="AS70" s="1">
        <v>0.03921222</v>
      </c>
      <c r="AT70" s="1">
        <v>0.04682658</v>
      </c>
      <c r="AU70" s="1">
        <v>0.01271494</v>
      </c>
      <c r="AV70" s="1">
        <v>0.06002354</v>
      </c>
      <c r="AW70" s="1">
        <v>0.03375331</v>
      </c>
      <c r="AX70" s="1">
        <v>0.03206885</v>
      </c>
      <c r="AY70" s="1">
        <v>0</v>
      </c>
      <c r="AZ70" s="1">
        <v>20939</v>
      </c>
      <c r="BA70" s="1">
        <v>128.672</v>
      </c>
      <c r="BB70" s="1">
        <f t="shared" si="4"/>
        <v>9.94936872779232</v>
      </c>
      <c r="BC70" s="1">
        <v>0.00116</v>
      </c>
      <c r="BD70" s="1">
        <v>943.14</v>
      </c>
      <c r="BE70" s="1">
        <v>0.737586975097656</v>
      </c>
      <c r="BF70" s="1">
        <v>11.405742</v>
      </c>
      <c r="BG70" s="1">
        <v>0.8076145</v>
      </c>
      <c r="BH70" s="1">
        <v>10739.7598669668</v>
      </c>
      <c r="BI70" s="1">
        <f t="shared" si="5"/>
        <v>9.28170800905747</v>
      </c>
      <c r="BJ70" s="1">
        <v>11.36835</v>
      </c>
      <c r="BK70" s="1">
        <v>66606.23</v>
      </c>
      <c r="BL70" s="1">
        <v>61.0729682260897</v>
      </c>
      <c r="BM70" s="1">
        <v>456892</v>
      </c>
      <c r="BN70" s="1">
        <v>5340000</v>
      </c>
      <c r="BO70" s="1">
        <v>0.0856</v>
      </c>
      <c r="BP70" s="1">
        <v>0.803928</v>
      </c>
      <c r="BQ70" s="1">
        <v>61.072968</v>
      </c>
      <c r="BR70" s="1">
        <v>30870.8</v>
      </c>
      <c r="BS70" s="3">
        <v>2300000</v>
      </c>
    </row>
    <row r="71" spans="1:71">
      <c r="A71" s="1" t="s">
        <v>76</v>
      </c>
      <c r="B71" s="1">
        <v>6</v>
      </c>
      <c r="C71" s="1">
        <v>112.944</v>
      </c>
      <c r="D71" s="1">
        <v>23.0064</v>
      </c>
      <c r="E71" s="1">
        <v>2020</v>
      </c>
      <c r="F71" s="1">
        <v>0.477339368950273</v>
      </c>
      <c r="G71" s="1">
        <v>7.92069767519502</v>
      </c>
      <c r="H71" s="1">
        <v>5.68331688755072</v>
      </c>
      <c r="I71" s="1">
        <v>5.67099949852088</v>
      </c>
      <c r="J71" s="1">
        <v>5.67288563774872</v>
      </c>
      <c r="K71" s="1">
        <v>5.74096299778001</v>
      </c>
      <c r="L71" s="1">
        <v>0.338404</v>
      </c>
      <c r="M71" s="1">
        <v>8.29180211631154</v>
      </c>
      <c r="N71" s="1">
        <v>5.3423343</v>
      </c>
      <c r="O71" s="1">
        <v>11.6453369781387</v>
      </c>
      <c r="P71" s="1">
        <v>292.922723505158</v>
      </c>
      <c r="Q71" s="1">
        <v>289.324568380237</v>
      </c>
      <c r="R71" s="1">
        <v>289.87267771932</v>
      </c>
      <c r="S71" s="1">
        <v>310.36410957024</v>
      </c>
      <c r="T71" s="1">
        <v>195.02</v>
      </c>
      <c r="U71" s="1">
        <v>3990.02</v>
      </c>
      <c r="V71" s="1">
        <v>208</v>
      </c>
      <c r="W71" s="1">
        <v>114156.7997</v>
      </c>
      <c r="X71" s="1">
        <v>0.467843814011463</v>
      </c>
      <c r="Y71" s="1">
        <v>4.04</v>
      </c>
      <c r="Z71" s="1">
        <v>0.5635</v>
      </c>
      <c r="AA71" s="1">
        <v>7.82654945703013</v>
      </c>
      <c r="AB71" s="1">
        <f t="shared" si="3"/>
        <v>2.05752173050207</v>
      </c>
      <c r="AC71" s="1">
        <v>3.06359208159105</v>
      </c>
      <c r="AD71" s="1">
        <v>0.030962328042328</v>
      </c>
      <c r="AE71" s="1">
        <v>0.698045602605863</v>
      </c>
      <c r="AF71" s="1">
        <v>177</v>
      </c>
      <c r="AG71" s="1">
        <v>0.43464</v>
      </c>
      <c r="AH71" s="2">
        <v>5.27822</v>
      </c>
      <c r="AI71" s="1">
        <v>61.0729682260897</v>
      </c>
      <c r="AJ71" s="1">
        <v>1.92888682314664</v>
      </c>
      <c r="AK71" s="1">
        <v>1.38219954971644</v>
      </c>
      <c r="AL71" s="1">
        <v>1.41897991424058</v>
      </c>
      <c r="AM71" s="1">
        <v>1.41596380494889</v>
      </c>
      <c r="AN71" s="1">
        <v>979</v>
      </c>
      <c r="AO71" s="1">
        <v>0.10112454</v>
      </c>
      <c r="AP71" s="1">
        <v>0.03818728</v>
      </c>
      <c r="AQ71" s="1">
        <v>0.08213337</v>
      </c>
      <c r="AR71" s="1">
        <v>0.05617011</v>
      </c>
      <c r="AS71" s="1">
        <v>0.03921222</v>
      </c>
      <c r="AT71" s="1">
        <v>0.04682658</v>
      </c>
      <c r="AU71" s="1">
        <v>0.01271494</v>
      </c>
      <c r="AV71" s="1">
        <v>0.06002354</v>
      </c>
      <c r="AW71" s="1">
        <v>0.03375331</v>
      </c>
      <c r="AX71" s="1">
        <v>0.03206885</v>
      </c>
      <c r="AY71" s="1">
        <v>0</v>
      </c>
      <c r="AZ71" s="1">
        <v>22593</v>
      </c>
      <c r="BA71" s="1">
        <v>148.3</v>
      </c>
      <c r="BB71" s="1">
        <f t="shared" si="4"/>
        <v>10.0253954027695</v>
      </c>
      <c r="BC71" s="1">
        <v>0.000751</v>
      </c>
      <c r="BD71" s="1">
        <v>951.88</v>
      </c>
      <c r="BE71" s="1">
        <v>0.747634470462799</v>
      </c>
      <c r="BF71" s="1">
        <v>59.038749</v>
      </c>
      <c r="BG71" s="1">
        <v>0.0848644000000001</v>
      </c>
      <c r="BH71" s="1">
        <v>10816.4709</v>
      </c>
      <c r="BI71" s="1">
        <f t="shared" si="5"/>
        <v>9.2888253346871</v>
      </c>
      <c r="BJ71" s="1">
        <v>11.36835</v>
      </c>
      <c r="BK71" s="1">
        <v>68655.44</v>
      </c>
      <c r="BL71" s="1">
        <v>61.0729682260897</v>
      </c>
      <c r="BM71" s="1">
        <v>456892</v>
      </c>
      <c r="BN71" s="1">
        <v>5340000</v>
      </c>
      <c r="BO71" s="1">
        <v>0.0856</v>
      </c>
      <c r="BP71" s="1">
        <v>0.803928</v>
      </c>
      <c r="BQ71" s="1">
        <v>61.072968</v>
      </c>
      <c r="BR71" s="1">
        <v>30870.8</v>
      </c>
      <c r="BS71" s="3">
        <v>2300000</v>
      </c>
    </row>
    <row r="72" spans="1:71">
      <c r="A72" s="1" t="s">
        <v>76</v>
      </c>
      <c r="B72" s="1">
        <v>6</v>
      </c>
      <c r="C72" s="1">
        <v>112.944</v>
      </c>
      <c r="D72" s="1">
        <v>23.0064</v>
      </c>
      <c r="E72" s="1">
        <v>2021</v>
      </c>
      <c r="F72" s="1">
        <v>0.518247958456731</v>
      </c>
      <c r="G72" s="1">
        <v>7.91972442903436</v>
      </c>
      <c r="H72" s="1">
        <v>5.76856988700528</v>
      </c>
      <c r="I72" s="1">
        <v>5.78779941888703</v>
      </c>
      <c r="J72" s="1">
        <v>5.74078880614433</v>
      </c>
      <c r="K72" s="1">
        <v>5.75420605011453</v>
      </c>
      <c r="L72" s="1">
        <v>0.338404</v>
      </c>
      <c r="M72" s="1">
        <v>8.44802744784491</v>
      </c>
      <c r="N72" s="1">
        <v>6.0844994</v>
      </c>
      <c r="O72" s="1">
        <v>11.4575049357806</v>
      </c>
      <c r="P72" s="1">
        <v>319.07965507747</v>
      </c>
      <c r="Q72" s="1">
        <v>325.294196899872</v>
      </c>
      <c r="R72" s="1">
        <v>310.309877318312</v>
      </c>
      <c r="S72" s="1">
        <v>314.514945048856</v>
      </c>
      <c r="T72" s="1">
        <v>223.002</v>
      </c>
      <c r="U72" s="1">
        <v>4664.86</v>
      </c>
      <c r="V72" s="1">
        <v>438</v>
      </c>
      <c r="W72" s="1">
        <v>94607.7207</v>
      </c>
      <c r="X72" s="1">
        <v>0.506825192731674</v>
      </c>
      <c r="Y72" s="1">
        <v>7.48</v>
      </c>
      <c r="Z72" s="1">
        <v>0.5599</v>
      </c>
      <c r="AA72" s="1">
        <v>7.83635540449063</v>
      </c>
      <c r="AB72" s="1">
        <f t="shared" si="3"/>
        <v>2.05877385439969</v>
      </c>
      <c r="AC72" s="1">
        <v>2.99590639223416</v>
      </c>
      <c r="AD72" s="1">
        <v>0.0311690082644628</v>
      </c>
      <c r="AE72" s="1">
        <v>0.917014415781487</v>
      </c>
      <c r="AF72" s="1">
        <v>88</v>
      </c>
      <c r="AG72" s="1">
        <v>0.424678</v>
      </c>
      <c r="AH72" s="2">
        <v>5.41165</v>
      </c>
      <c r="AI72" s="1">
        <v>61.0729682260897</v>
      </c>
      <c r="AJ72" s="1">
        <v>1.92888682314664</v>
      </c>
      <c r="AK72" s="1">
        <v>1.38219954971644</v>
      </c>
      <c r="AL72" s="1">
        <v>1.41897991424058</v>
      </c>
      <c r="AM72" s="1">
        <v>1.41596380494889</v>
      </c>
      <c r="AN72" s="1">
        <v>979</v>
      </c>
      <c r="AO72" s="1">
        <v>0.10112454</v>
      </c>
      <c r="AP72" s="1">
        <v>0.03818728</v>
      </c>
      <c r="AQ72" s="1">
        <v>0.08213337</v>
      </c>
      <c r="AR72" s="1">
        <v>0.05617011</v>
      </c>
      <c r="AS72" s="1">
        <v>0.03921222</v>
      </c>
      <c r="AT72" s="1">
        <v>0.04682658</v>
      </c>
      <c r="AU72" s="1">
        <v>0.01271494</v>
      </c>
      <c r="AV72" s="1">
        <v>0.06002354</v>
      </c>
      <c r="AW72" s="1">
        <v>0.03375331</v>
      </c>
      <c r="AX72" s="1">
        <v>0.03206885</v>
      </c>
      <c r="AY72" s="1">
        <v>0</v>
      </c>
      <c r="AZ72" s="1">
        <v>21486</v>
      </c>
      <c r="BA72" s="1">
        <v>153.207</v>
      </c>
      <c r="BB72" s="1">
        <f t="shared" si="4"/>
        <v>9.97515683922649</v>
      </c>
      <c r="BC72" s="1">
        <v>0.00011</v>
      </c>
      <c r="BD72" s="1">
        <v>961.26</v>
      </c>
      <c r="BE72" s="1">
        <v>0.754969894886017</v>
      </c>
      <c r="BF72" s="1">
        <v>4700.7620447</v>
      </c>
      <c r="BG72" s="1">
        <v>-0.2330336</v>
      </c>
      <c r="BH72" s="1">
        <v>12156.5384</v>
      </c>
      <c r="BI72" s="1">
        <f t="shared" si="5"/>
        <v>9.40562244394103</v>
      </c>
      <c r="BJ72" s="1">
        <v>11.36835</v>
      </c>
      <c r="BK72" s="1">
        <v>79507.66</v>
      </c>
      <c r="BL72" s="1">
        <v>61.0729682260897</v>
      </c>
      <c r="BM72" s="1">
        <v>456892</v>
      </c>
      <c r="BN72" s="1">
        <v>5340000</v>
      </c>
      <c r="BO72" s="1">
        <v>0.0856</v>
      </c>
      <c r="BP72" s="1">
        <v>0.803928</v>
      </c>
      <c r="BQ72" s="1">
        <v>61.072968</v>
      </c>
      <c r="BR72" s="1">
        <v>30870.8</v>
      </c>
      <c r="BS72" s="3">
        <v>2300000</v>
      </c>
    </row>
    <row r="73" spans="1:71">
      <c r="A73" s="1" t="s">
        <v>76</v>
      </c>
      <c r="B73" s="1">
        <v>6</v>
      </c>
      <c r="C73" s="1">
        <v>112.944</v>
      </c>
      <c r="D73" s="1">
        <v>23.0064</v>
      </c>
      <c r="E73" s="1">
        <v>2022</v>
      </c>
      <c r="F73" s="1">
        <v>0.513000468086211</v>
      </c>
      <c r="G73" s="1">
        <v>7.52500044443987</v>
      </c>
      <c r="H73" s="1">
        <v>5.78879856224031</v>
      </c>
      <c r="I73" s="1">
        <v>5.8553422555731</v>
      </c>
      <c r="J73" s="1">
        <v>5.66038167384366</v>
      </c>
      <c r="K73" s="1">
        <v>5.78061629473711</v>
      </c>
      <c r="L73" s="1">
        <v>0.338404</v>
      </c>
      <c r="M73" s="1">
        <v>6.79604128935213</v>
      </c>
      <c r="N73" s="1">
        <v>6.410175</v>
      </c>
      <c r="O73" s="1">
        <v>11.842119134112</v>
      </c>
      <c r="P73" s="1">
        <v>325.620374518887</v>
      </c>
      <c r="Q73" s="1">
        <v>348.094359132992</v>
      </c>
      <c r="R73" s="1">
        <v>286.258260587515</v>
      </c>
      <c r="S73" s="1">
        <v>322.958783031853</v>
      </c>
      <c r="T73" s="1">
        <v>207.1739</v>
      </c>
      <c r="U73" s="1">
        <v>893.3</v>
      </c>
      <c r="V73" s="1">
        <v>607</v>
      </c>
      <c r="W73" s="1">
        <v>138983.7</v>
      </c>
      <c r="X73" s="1">
        <v>0.522727536182214</v>
      </c>
      <c r="Y73" s="1">
        <v>11.64</v>
      </c>
      <c r="Z73" s="1">
        <v>0.5615</v>
      </c>
      <c r="AA73" s="1">
        <v>7.83006262978427</v>
      </c>
      <c r="AB73" s="1">
        <f t="shared" si="3"/>
        <v>2.05797050866603</v>
      </c>
      <c r="AC73" s="1">
        <v>3.26109289130871</v>
      </c>
      <c r="AD73" s="1">
        <v>0.0338589898989899</v>
      </c>
      <c r="AE73" s="1">
        <v>0.964371604168522</v>
      </c>
      <c r="AF73" s="1">
        <v>122</v>
      </c>
      <c r="AG73" s="1">
        <v>0.446124</v>
      </c>
      <c r="AH73" s="2">
        <v>5.33837</v>
      </c>
      <c r="AI73" s="1">
        <v>61.0729682260897</v>
      </c>
      <c r="AJ73" s="1">
        <v>1.92888682314664</v>
      </c>
      <c r="AK73" s="1">
        <v>1.38219954971644</v>
      </c>
      <c r="AL73" s="1">
        <v>1.41897991424058</v>
      </c>
      <c r="AM73" s="1">
        <v>1.41596380494889</v>
      </c>
      <c r="AN73" s="1">
        <v>979</v>
      </c>
      <c r="AO73" s="1">
        <v>0.10112454</v>
      </c>
      <c r="AP73" s="1">
        <v>0.03818728</v>
      </c>
      <c r="AQ73" s="1">
        <v>0.08213337</v>
      </c>
      <c r="AR73" s="1">
        <v>0.05617011</v>
      </c>
      <c r="AS73" s="1">
        <v>0.03921222</v>
      </c>
      <c r="AT73" s="1">
        <v>0.04682658</v>
      </c>
      <c r="AU73" s="1">
        <v>0.01271494</v>
      </c>
      <c r="AV73" s="1">
        <v>0.06002354</v>
      </c>
      <c r="AW73" s="1">
        <v>0.03375331</v>
      </c>
      <c r="AX73" s="1">
        <v>0.03206885</v>
      </c>
      <c r="AY73" s="1">
        <v>0</v>
      </c>
      <c r="AZ73" s="1">
        <v>21263</v>
      </c>
      <c r="BA73" s="1">
        <v>167.602</v>
      </c>
      <c r="BB73" s="1">
        <f t="shared" si="4"/>
        <v>9.9647237520067</v>
      </c>
      <c r="BC73" s="1">
        <v>0.000654</v>
      </c>
      <c r="BD73" s="1">
        <v>955.23</v>
      </c>
      <c r="BE73" s="1">
        <v>0.750015428202755</v>
      </c>
      <c r="BF73" s="1">
        <v>253558.8301835</v>
      </c>
      <c r="BG73" s="1">
        <v>-0.4717962</v>
      </c>
      <c r="BH73" s="1">
        <v>12698.39</v>
      </c>
      <c r="BI73" s="1">
        <f t="shared" si="5"/>
        <v>9.44923049275693</v>
      </c>
      <c r="BJ73" s="1">
        <v>11.36835</v>
      </c>
      <c r="BK73" s="1">
        <v>82961.34</v>
      </c>
      <c r="BL73" s="1">
        <v>61.0729682260897</v>
      </c>
      <c r="BM73" s="1">
        <v>456892</v>
      </c>
      <c r="BN73" s="1">
        <v>5340000</v>
      </c>
      <c r="BO73" s="1">
        <v>0.0856</v>
      </c>
      <c r="BP73" s="1">
        <v>0.803928</v>
      </c>
      <c r="BQ73" s="1">
        <v>61.072968</v>
      </c>
      <c r="BR73" s="1">
        <v>30870.8</v>
      </c>
      <c r="BS73" s="3">
        <v>2300000</v>
      </c>
    </row>
    <row r="74" spans="1:71">
      <c r="A74" s="1" t="s">
        <v>77</v>
      </c>
      <c r="B74" s="1">
        <v>7</v>
      </c>
      <c r="C74" s="1">
        <v>112.67</v>
      </c>
      <c r="D74" s="1">
        <v>22.2813</v>
      </c>
      <c r="E74" s="1">
        <v>2011</v>
      </c>
      <c r="F74" s="1">
        <v>0.362005959063171</v>
      </c>
      <c r="G74" s="1">
        <v>7.68402854287724</v>
      </c>
      <c r="H74" s="1">
        <v>4.25646341169853</v>
      </c>
      <c r="I74" s="1">
        <v>4.24362626493785</v>
      </c>
      <c r="J74" s="1">
        <v>4.2915547315098</v>
      </c>
      <c r="K74" s="1">
        <v>4.23309149689756</v>
      </c>
      <c r="L74" s="1">
        <v>0.1157112</v>
      </c>
      <c r="M74" s="1">
        <v>5.45168202325433</v>
      </c>
      <c r="N74" s="1">
        <v>2.1972246</v>
      </c>
      <c r="O74" s="1">
        <v>10.6228871042401</v>
      </c>
      <c r="P74" s="1">
        <v>69.56</v>
      </c>
      <c r="Q74" s="1">
        <v>68.66</v>
      </c>
      <c r="R74" s="1">
        <v>72.08</v>
      </c>
      <c r="S74" s="1">
        <v>67.93</v>
      </c>
      <c r="T74" s="1">
        <v>52.01</v>
      </c>
      <c r="U74" s="1">
        <v>232.15</v>
      </c>
      <c r="V74" s="1">
        <v>8</v>
      </c>
      <c r="W74" s="1">
        <v>41063</v>
      </c>
      <c r="X74" s="1">
        <v>0.624127552003272</v>
      </c>
      <c r="Y74" s="1">
        <v>7.72</v>
      </c>
      <c r="Z74" s="1">
        <v>0.54479999997815</v>
      </c>
      <c r="AA74" s="1">
        <v>6.15242370650365</v>
      </c>
      <c r="AB74" s="1">
        <f t="shared" si="3"/>
        <v>1.81684610280044</v>
      </c>
      <c r="AC74" s="1">
        <v>1.97996932543656</v>
      </c>
      <c r="AD74" s="1">
        <v>0.00676250952501905</v>
      </c>
      <c r="AE74" s="1">
        <v>1.02199805542052</v>
      </c>
      <c r="AF74" s="1">
        <v>13</v>
      </c>
      <c r="AG74" s="1">
        <v>0.32736</v>
      </c>
      <c r="AH74" s="2">
        <v>3.97048</v>
      </c>
      <c r="AI74" s="1">
        <v>47.6726726726727</v>
      </c>
      <c r="AJ74" s="1">
        <v>0.489554426933347</v>
      </c>
      <c r="AK74" s="1">
        <v>0.498015718621119</v>
      </c>
      <c r="AL74" s="1">
        <v>0.178645401822701</v>
      </c>
      <c r="AM74" s="1">
        <v>0.846801259875045</v>
      </c>
      <c r="AN74" s="1">
        <v>996</v>
      </c>
      <c r="AO74" s="1">
        <v>0.04912604</v>
      </c>
      <c r="AP74" s="1">
        <v>0.04925458</v>
      </c>
      <c r="AQ74" s="1">
        <v>0.05146391</v>
      </c>
      <c r="AR74" s="1">
        <v>0.04612301</v>
      </c>
      <c r="AS74" s="1">
        <v>0.04932091</v>
      </c>
      <c r="AT74" s="1">
        <v>0.04836313</v>
      </c>
      <c r="AU74" s="1">
        <v>0.04070212</v>
      </c>
      <c r="AV74" s="1">
        <v>0.11003293</v>
      </c>
      <c r="AW74" s="1">
        <v>0.03815376</v>
      </c>
      <c r="AX74" s="1">
        <v>0.06282065</v>
      </c>
      <c r="AY74" s="1">
        <v>0.08990251</v>
      </c>
      <c r="AZ74" s="1">
        <v>853</v>
      </c>
      <c r="BA74" s="1">
        <v>26.624</v>
      </c>
      <c r="BB74" s="1">
        <f t="shared" si="4"/>
        <v>6.74875954749168</v>
      </c>
      <c r="BC74" s="1">
        <v>0.000175</v>
      </c>
      <c r="BD74" s="1">
        <v>393.7</v>
      </c>
      <c r="BE74" s="1">
        <v>0.696950852870941</v>
      </c>
      <c r="BF74" s="1">
        <v>-90.8063</v>
      </c>
      <c r="BG74" s="1">
        <v>0.8772941</v>
      </c>
      <c r="BH74" s="1">
        <v>1836.718994</v>
      </c>
      <c r="BI74" s="1">
        <f t="shared" si="5"/>
        <v>7.51573610345413</v>
      </c>
      <c r="BJ74" s="1">
        <v>5.727658333</v>
      </c>
      <c r="BK74" s="1">
        <v>20615.41</v>
      </c>
      <c r="BL74" s="1">
        <v>47.6726726726727</v>
      </c>
      <c r="BM74" s="1">
        <v>289563</v>
      </c>
      <c r="BN74" s="1">
        <v>3740000</v>
      </c>
      <c r="BO74" s="1">
        <v>0.0774</v>
      </c>
      <c r="BP74" s="1">
        <v>0.450807</v>
      </c>
      <c r="BQ74" s="1">
        <v>47.672673</v>
      </c>
      <c r="BR74" s="1">
        <v>17311</v>
      </c>
      <c r="BS74" s="3">
        <v>1800000</v>
      </c>
    </row>
    <row r="75" spans="1:71">
      <c r="A75" s="1" t="s">
        <v>77</v>
      </c>
      <c r="B75" s="1">
        <v>7</v>
      </c>
      <c r="C75" s="1">
        <v>112.67</v>
      </c>
      <c r="D75" s="1">
        <v>22.2813</v>
      </c>
      <c r="E75" s="1">
        <v>2012</v>
      </c>
      <c r="F75" s="1">
        <v>0.360680031871423</v>
      </c>
      <c r="G75" s="1">
        <v>7.58746279092946</v>
      </c>
      <c r="H75" s="1">
        <v>4.67086428918345</v>
      </c>
      <c r="I75" s="1">
        <v>4.63695950847749</v>
      </c>
      <c r="J75" s="1">
        <v>4.72037211567677</v>
      </c>
      <c r="K75" s="1">
        <v>4.68877576984288</v>
      </c>
      <c r="L75" s="1">
        <v>0.1157112</v>
      </c>
      <c r="M75" s="1">
        <v>6.3551175874017</v>
      </c>
      <c r="N75" s="1">
        <v>3.295837</v>
      </c>
      <c r="O75" s="1">
        <v>10.6461151351869</v>
      </c>
      <c r="P75" s="1">
        <v>105.79</v>
      </c>
      <c r="Q75" s="1">
        <v>102.23</v>
      </c>
      <c r="R75" s="1">
        <v>111.21</v>
      </c>
      <c r="S75" s="1">
        <v>107.72</v>
      </c>
      <c r="T75" s="1">
        <v>57.1</v>
      </c>
      <c r="U75" s="1">
        <v>574.43</v>
      </c>
      <c r="V75" s="1">
        <v>26</v>
      </c>
      <c r="W75" s="1">
        <v>42028</v>
      </c>
      <c r="X75" s="1">
        <v>0.630177604266574</v>
      </c>
      <c r="Y75" s="1">
        <v>5.79</v>
      </c>
      <c r="Z75" s="1">
        <v>0.511</v>
      </c>
      <c r="AA75" s="1">
        <v>6.15616284650227</v>
      </c>
      <c r="AB75" s="1">
        <f t="shared" si="3"/>
        <v>1.81745366892472</v>
      </c>
      <c r="AC75" s="1">
        <v>2.19889974128296</v>
      </c>
      <c r="AD75" s="1">
        <v>0.0078353751914242</v>
      </c>
      <c r="AE75" s="1">
        <v>0.938688858695652</v>
      </c>
      <c r="AF75" s="1">
        <v>8</v>
      </c>
      <c r="AG75" s="1">
        <v>0.3664</v>
      </c>
      <c r="AH75" s="2">
        <v>4.06217</v>
      </c>
      <c r="AI75" s="1">
        <v>47.6726726726727</v>
      </c>
      <c r="AJ75" s="1">
        <v>0.489554426933347</v>
      </c>
      <c r="AK75" s="1">
        <v>0.498015718621119</v>
      </c>
      <c r="AL75" s="1">
        <v>0.178645401822701</v>
      </c>
      <c r="AM75" s="1">
        <v>0.846801259875045</v>
      </c>
      <c r="AN75" s="1">
        <v>996</v>
      </c>
      <c r="AO75" s="1">
        <v>0.04912604</v>
      </c>
      <c r="AP75" s="1">
        <v>0.04925458</v>
      </c>
      <c r="AQ75" s="1">
        <v>0.05146391</v>
      </c>
      <c r="AR75" s="1">
        <v>0.04612301</v>
      </c>
      <c r="AS75" s="1">
        <v>0.04932091</v>
      </c>
      <c r="AT75" s="1">
        <v>0.04836313</v>
      </c>
      <c r="AU75" s="1">
        <v>0.04070212</v>
      </c>
      <c r="AV75" s="1">
        <v>0.11003293</v>
      </c>
      <c r="AW75" s="1">
        <v>0.03815376</v>
      </c>
      <c r="AX75" s="1">
        <v>0.06282065</v>
      </c>
      <c r="AY75" s="1">
        <v>0.08990251</v>
      </c>
      <c r="AZ75" s="1">
        <v>1082</v>
      </c>
      <c r="BA75" s="1">
        <v>30.699</v>
      </c>
      <c r="BB75" s="1">
        <f t="shared" si="4"/>
        <v>6.98656645940643</v>
      </c>
      <c r="BC75" s="1">
        <v>0.000651</v>
      </c>
      <c r="BD75" s="1">
        <v>391.8</v>
      </c>
      <c r="BE75" s="1">
        <v>0.801369607448578</v>
      </c>
      <c r="BF75" s="1">
        <v>-2.446104</v>
      </c>
      <c r="BG75" s="1">
        <v>0.7599702</v>
      </c>
      <c r="BH75" s="1">
        <v>1892.983235</v>
      </c>
      <c r="BI75" s="1">
        <f t="shared" si="5"/>
        <v>7.54590929485737</v>
      </c>
      <c r="BJ75" s="1">
        <v>5.727658333</v>
      </c>
      <c r="BK75" s="1">
        <v>23130.91</v>
      </c>
      <c r="BL75" s="1">
        <v>47.6726726726727</v>
      </c>
      <c r="BM75" s="1">
        <v>289563</v>
      </c>
      <c r="BN75" s="1">
        <v>3740000</v>
      </c>
      <c r="BO75" s="1">
        <v>0.0774</v>
      </c>
      <c r="BP75" s="1">
        <v>0.450807</v>
      </c>
      <c r="BQ75" s="1">
        <v>47.672673</v>
      </c>
      <c r="BR75" s="1">
        <v>17311</v>
      </c>
      <c r="BS75" s="3">
        <v>1800000</v>
      </c>
    </row>
    <row r="76" spans="1:71">
      <c r="A76" s="1" t="s">
        <v>77</v>
      </c>
      <c r="B76" s="1">
        <v>7</v>
      </c>
      <c r="C76" s="1">
        <v>112.67</v>
      </c>
      <c r="D76" s="1">
        <v>22.2813</v>
      </c>
      <c r="E76" s="1">
        <v>2013</v>
      </c>
      <c r="F76" s="1">
        <v>0.347456650280197</v>
      </c>
      <c r="G76" s="1">
        <v>7.59619123111306</v>
      </c>
      <c r="H76" s="1">
        <v>4.96911861389332</v>
      </c>
      <c r="I76" s="1">
        <v>4.88386196660173</v>
      </c>
      <c r="J76" s="1">
        <v>5.01316542394988</v>
      </c>
      <c r="K76" s="1">
        <v>5.14137111608531</v>
      </c>
      <c r="L76" s="1">
        <v>0.1157112</v>
      </c>
      <c r="M76" s="1">
        <v>2.14006616349627</v>
      </c>
      <c r="N76" s="1">
        <v>2.9957323</v>
      </c>
      <c r="O76" s="1">
        <v>10.7043000905641</v>
      </c>
      <c r="P76" s="1">
        <v>142.9</v>
      </c>
      <c r="Q76" s="1">
        <v>131.14</v>
      </c>
      <c r="R76" s="1">
        <v>149.38</v>
      </c>
      <c r="S76" s="1">
        <v>169.95</v>
      </c>
      <c r="T76" s="1">
        <v>64.31</v>
      </c>
      <c r="U76" s="1">
        <v>7.5</v>
      </c>
      <c r="V76" s="1">
        <v>19</v>
      </c>
      <c r="W76" s="1">
        <v>44546</v>
      </c>
      <c r="X76" s="1">
        <v>0.610992304938704</v>
      </c>
      <c r="Y76" s="1">
        <v>11.42</v>
      </c>
      <c r="Z76" s="1">
        <v>0.5065</v>
      </c>
      <c r="AA76" s="1">
        <v>6.15948122421188</v>
      </c>
      <c r="AB76" s="1">
        <f t="shared" si="3"/>
        <v>1.81799255715027</v>
      </c>
      <c r="AC76" s="1">
        <v>2.38503044031516</v>
      </c>
      <c r="AD76" s="1">
        <v>0.00873918575063613</v>
      </c>
      <c r="AE76" s="1">
        <v>0.710656048540008</v>
      </c>
      <c r="AF76" s="1">
        <v>2</v>
      </c>
      <c r="AG76" s="1">
        <v>0.354486</v>
      </c>
      <c r="AH76" s="2">
        <v>4.17915</v>
      </c>
      <c r="AI76" s="1">
        <v>47.6726726726727</v>
      </c>
      <c r="AJ76" s="1">
        <v>0.489554426933347</v>
      </c>
      <c r="AK76" s="1">
        <v>0.498015718621119</v>
      </c>
      <c r="AL76" s="1">
        <v>0.178645401822701</v>
      </c>
      <c r="AM76" s="1">
        <v>0.846801259875045</v>
      </c>
      <c r="AN76" s="1">
        <v>996</v>
      </c>
      <c r="AO76" s="1">
        <v>0.04912604</v>
      </c>
      <c r="AP76" s="1">
        <v>0.04925458</v>
      </c>
      <c r="AQ76" s="1">
        <v>0.05146391</v>
      </c>
      <c r="AR76" s="1">
        <v>0.04612301</v>
      </c>
      <c r="AS76" s="1">
        <v>0.04932091</v>
      </c>
      <c r="AT76" s="1">
        <v>0.04836313</v>
      </c>
      <c r="AU76" s="1">
        <v>0.04070212</v>
      </c>
      <c r="AV76" s="1">
        <v>0.11003293</v>
      </c>
      <c r="AW76" s="1">
        <v>0.03815376</v>
      </c>
      <c r="AX76" s="1">
        <v>0.06282065</v>
      </c>
      <c r="AY76" s="1">
        <v>0.08990251</v>
      </c>
      <c r="AZ76" s="1">
        <v>1132</v>
      </c>
      <c r="BA76" s="1">
        <v>34</v>
      </c>
      <c r="BB76" s="1">
        <f t="shared" si="4"/>
        <v>7.03174125876313</v>
      </c>
      <c r="BC76" s="1">
        <v>0.000144</v>
      </c>
      <c r="BD76" s="1">
        <v>393</v>
      </c>
      <c r="BE76" s="1">
        <v>0.817568063735962</v>
      </c>
      <c r="BF76" s="1">
        <v>-2.891836</v>
      </c>
      <c r="BG76" s="1">
        <v>0.366764</v>
      </c>
      <c r="BH76" s="1">
        <v>2020.97257554728</v>
      </c>
      <c r="BI76" s="1">
        <f t="shared" si="5"/>
        <v>7.6113341475675</v>
      </c>
      <c r="BJ76" s="1">
        <v>5.727658333</v>
      </c>
      <c r="BK76" s="1">
        <v>25425.52</v>
      </c>
      <c r="BL76" s="1">
        <v>47.6726726726727</v>
      </c>
      <c r="BM76" s="1">
        <v>289563</v>
      </c>
      <c r="BN76" s="1">
        <v>3740000</v>
      </c>
      <c r="BO76" s="1">
        <v>0.0774</v>
      </c>
      <c r="BP76" s="1">
        <v>0.450807</v>
      </c>
      <c r="BQ76" s="1">
        <v>47.672673</v>
      </c>
      <c r="BR76" s="1">
        <v>17311</v>
      </c>
      <c r="BS76" s="3">
        <v>1800000</v>
      </c>
    </row>
    <row r="77" spans="1:71">
      <c r="A77" s="1" t="s">
        <v>77</v>
      </c>
      <c r="B77" s="1">
        <v>7</v>
      </c>
      <c r="C77" s="1">
        <v>112.67</v>
      </c>
      <c r="D77" s="1">
        <v>22.2813</v>
      </c>
      <c r="E77" s="1">
        <v>2014</v>
      </c>
      <c r="F77" s="1">
        <v>0.324753013222942</v>
      </c>
      <c r="G77" s="1">
        <v>7.75451805066348</v>
      </c>
      <c r="H77" s="1">
        <v>5.06430243534519</v>
      </c>
      <c r="I77" s="1">
        <v>5.08568092175172</v>
      </c>
      <c r="J77" s="1">
        <v>4.94655888838912</v>
      </c>
      <c r="K77" s="1">
        <v>5.18699466790377</v>
      </c>
      <c r="L77" s="1">
        <v>0.1157112</v>
      </c>
      <c r="M77" s="1">
        <v>5.56796275151366</v>
      </c>
      <c r="N77" s="1">
        <v>2.4849067</v>
      </c>
      <c r="O77" s="1">
        <v>10.7415572498156</v>
      </c>
      <c r="P77" s="1">
        <v>157.27</v>
      </c>
      <c r="Q77" s="1">
        <v>160.69</v>
      </c>
      <c r="R77" s="1">
        <v>139.69</v>
      </c>
      <c r="S77" s="1">
        <v>177.93</v>
      </c>
      <c r="T77" s="1">
        <v>82.61</v>
      </c>
      <c r="U77" s="1">
        <v>260.9</v>
      </c>
      <c r="V77" s="1">
        <v>11</v>
      </c>
      <c r="W77" s="1">
        <v>46237</v>
      </c>
      <c r="X77" s="1">
        <v>0.600879523725112</v>
      </c>
      <c r="Y77" s="1">
        <v>11.38</v>
      </c>
      <c r="Z77" s="1">
        <v>0.4905</v>
      </c>
      <c r="AA77" s="1">
        <v>6.16254482967164</v>
      </c>
      <c r="AB77" s="1">
        <f t="shared" si="3"/>
        <v>1.8184898139341</v>
      </c>
      <c r="AC77" s="1">
        <v>2.56420392597604</v>
      </c>
      <c r="AD77" s="1">
        <v>0.00984290798169802</v>
      </c>
      <c r="AE77" s="1">
        <v>0.650935107317685</v>
      </c>
      <c r="AF77" s="1">
        <v>4</v>
      </c>
      <c r="AG77" s="1">
        <v>0.403036</v>
      </c>
      <c r="AH77" s="2">
        <v>4.42616</v>
      </c>
      <c r="AI77" s="1">
        <v>47.6726726726727</v>
      </c>
      <c r="AJ77" s="1">
        <v>0.489554426933347</v>
      </c>
      <c r="AK77" s="1">
        <v>0.498015718621119</v>
      </c>
      <c r="AL77" s="1">
        <v>0.178645401822701</v>
      </c>
      <c r="AM77" s="1">
        <v>0.846801259875045</v>
      </c>
      <c r="AN77" s="1">
        <v>996</v>
      </c>
      <c r="AO77" s="1">
        <v>0.04912604</v>
      </c>
      <c r="AP77" s="1">
        <v>0.04925458</v>
      </c>
      <c r="AQ77" s="1">
        <v>0.05146391</v>
      </c>
      <c r="AR77" s="1">
        <v>0.04612301</v>
      </c>
      <c r="AS77" s="1">
        <v>0.04932091</v>
      </c>
      <c r="AT77" s="1">
        <v>0.04836313</v>
      </c>
      <c r="AU77" s="1">
        <v>0.04070212</v>
      </c>
      <c r="AV77" s="1">
        <v>0.11003293</v>
      </c>
      <c r="AW77" s="1">
        <v>0.03815376</v>
      </c>
      <c r="AX77" s="1">
        <v>0.06282065</v>
      </c>
      <c r="AY77" s="1">
        <v>0.08990251</v>
      </c>
      <c r="AZ77" s="1">
        <v>1511</v>
      </c>
      <c r="BA77" s="1">
        <v>38.722</v>
      </c>
      <c r="BB77" s="1">
        <f t="shared" si="4"/>
        <v>7.32052696227274</v>
      </c>
      <c r="BC77" s="1">
        <v>0.000286</v>
      </c>
      <c r="BD77" s="1">
        <v>455.94</v>
      </c>
      <c r="BE77" s="1">
        <v>0.874207139015198</v>
      </c>
      <c r="BF77" s="1">
        <v>-4.210717</v>
      </c>
      <c r="BG77" s="1">
        <v>2.1237824</v>
      </c>
      <c r="BH77" s="1">
        <v>2099.29212234054</v>
      </c>
      <c r="BI77" s="1">
        <f t="shared" si="5"/>
        <v>7.64935548228599</v>
      </c>
      <c r="BJ77" s="1">
        <v>5.727658333</v>
      </c>
      <c r="BK77" s="1">
        <v>27840.94</v>
      </c>
      <c r="BL77" s="1">
        <v>47.6726726726727</v>
      </c>
      <c r="BM77" s="1">
        <v>289563</v>
      </c>
      <c r="BN77" s="1">
        <v>3740000</v>
      </c>
      <c r="BO77" s="1">
        <v>0.0774</v>
      </c>
      <c r="BP77" s="1">
        <v>0.450807</v>
      </c>
      <c r="BQ77" s="1">
        <v>47.672673</v>
      </c>
      <c r="BR77" s="1">
        <v>17311</v>
      </c>
      <c r="BS77" s="3">
        <v>1800000</v>
      </c>
    </row>
    <row r="78" spans="1:71">
      <c r="A78" s="1" t="s">
        <v>77</v>
      </c>
      <c r="B78" s="1">
        <v>7</v>
      </c>
      <c r="C78" s="1">
        <v>112.67</v>
      </c>
      <c r="D78" s="1">
        <v>22.2813</v>
      </c>
      <c r="E78" s="1">
        <v>2015</v>
      </c>
      <c r="F78" s="1">
        <v>0.337899779044953</v>
      </c>
      <c r="G78" s="1">
        <v>7.780367042821</v>
      </c>
      <c r="H78" s="1">
        <v>5.21460961747455</v>
      </c>
      <c r="I78" s="1">
        <v>5.2064213518435</v>
      </c>
      <c r="J78" s="1">
        <v>5.06751959629696</v>
      </c>
      <c r="K78" s="1">
        <v>5.45783930956492</v>
      </c>
      <c r="L78" s="1">
        <v>0.1157112</v>
      </c>
      <c r="M78" s="1">
        <v>6.34941867254509</v>
      </c>
      <c r="N78" s="1">
        <v>3.4011974</v>
      </c>
      <c r="O78" s="1">
        <v>10.8119275478655</v>
      </c>
      <c r="P78" s="1">
        <v>182.94</v>
      </c>
      <c r="Q78" s="1">
        <v>181.44</v>
      </c>
      <c r="R78" s="1">
        <v>157.78</v>
      </c>
      <c r="S78" s="1">
        <v>233.59</v>
      </c>
      <c r="T78" s="1">
        <v>94.71</v>
      </c>
      <c r="U78" s="1">
        <v>571.16</v>
      </c>
      <c r="V78" s="1">
        <v>29</v>
      </c>
      <c r="W78" s="1">
        <v>49608</v>
      </c>
      <c r="X78" s="1">
        <v>0.549904748801163</v>
      </c>
      <c r="Y78" s="1">
        <v>6.27</v>
      </c>
      <c r="Z78" s="1">
        <v>0.484200000017857</v>
      </c>
      <c r="AA78" s="1">
        <v>6.17767996833668</v>
      </c>
      <c r="AB78" s="1">
        <f t="shared" si="3"/>
        <v>1.8209427913315</v>
      </c>
      <c r="AC78" s="1">
        <v>2.67176565897075</v>
      </c>
      <c r="AD78" s="1">
        <v>0.010089164814389</v>
      </c>
      <c r="AE78" s="1">
        <v>0.754871990829194</v>
      </c>
      <c r="AF78" s="1">
        <v>28</v>
      </c>
      <c r="AG78" s="1">
        <v>0.37821</v>
      </c>
      <c r="AH78" s="2">
        <v>4.56132</v>
      </c>
      <c r="AI78" s="1">
        <v>47.6726726726727</v>
      </c>
      <c r="AJ78" s="1">
        <v>0.489554426933347</v>
      </c>
      <c r="AK78" s="1">
        <v>0.498015718621119</v>
      </c>
      <c r="AL78" s="1">
        <v>0.178645401822701</v>
      </c>
      <c r="AM78" s="1">
        <v>0.846801259875045</v>
      </c>
      <c r="AN78" s="1">
        <v>996</v>
      </c>
      <c r="AO78" s="1">
        <v>0.04912604</v>
      </c>
      <c r="AP78" s="1">
        <v>0.04925458</v>
      </c>
      <c r="AQ78" s="1">
        <v>0.05146391</v>
      </c>
      <c r="AR78" s="1">
        <v>0.04612301</v>
      </c>
      <c r="AS78" s="1">
        <v>0.04932091</v>
      </c>
      <c r="AT78" s="1">
        <v>0.04836313</v>
      </c>
      <c r="AU78" s="1">
        <v>0.04070212</v>
      </c>
      <c r="AV78" s="1">
        <v>0.11003293</v>
      </c>
      <c r="AW78" s="1">
        <v>0.03815376</v>
      </c>
      <c r="AX78" s="1">
        <v>0.06282065</v>
      </c>
      <c r="AY78" s="1">
        <v>0.08990251</v>
      </c>
      <c r="AZ78" s="1">
        <v>1730</v>
      </c>
      <c r="BA78" s="1">
        <v>39.49</v>
      </c>
      <c r="BB78" s="1">
        <f t="shared" si="4"/>
        <v>7.45587668749183</v>
      </c>
      <c r="BC78" s="1">
        <v>0</v>
      </c>
      <c r="BD78" s="1">
        <v>458.02</v>
      </c>
      <c r="BE78" s="1">
        <v>0.981594920158386</v>
      </c>
      <c r="BF78" s="1">
        <v>-3.708845</v>
      </c>
      <c r="BG78" s="1">
        <v>2.1290639</v>
      </c>
      <c r="BH78" s="1">
        <v>2274.25578079544</v>
      </c>
      <c r="BI78" s="1">
        <f t="shared" si="5"/>
        <v>7.7294081485459</v>
      </c>
      <c r="BJ78" s="1">
        <v>5.727658333</v>
      </c>
      <c r="BK78" s="1">
        <v>29246.11</v>
      </c>
      <c r="BL78" s="1">
        <v>47.6726726726727</v>
      </c>
      <c r="BM78" s="1">
        <v>289563</v>
      </c>
      <c r="BN78" s="1">
        <v>3740000</v>
      </c>
      <c r="BO78" s="1">
        <v>0.0774</v>
      </c>
      <c r="BP78" s="1">
        <v>0.450807</v>
      </c>
      <c r="BQ78" s="1">
        <v>47.672673</v>
      </c>
      <c r="BR78" s="1">
        <v>17311</v>
      </c>
      <c r="BS78" s="3">
        <v>1800000</v>
      </c>
    </row>
    <row r="79" spans="1:71">
      <c r="A79" s="1" t="s">
        <v>77</v>
      </c>
      <c r="B79" s="1">
        <v>7</v>
      </c>
      <c r="C79" s="1">
        <v>112.67</v>
      </c>
      <c r="D79" s="1">
        <v>22.2813</v>
      </c>
      <c r="E79" s="1">
        <v>2016</v>
      </c>
      <c r="F79" s="1">
        <v>0.337418038257967</v>
      </c>
      <c r="G79" s="1">
        <v>7.74622258222694</v>
      </c>
      <c r="H79" s="1">
        <v>5.31657256484033</v>
      </c>
      <c r="I79" s="1">
        <v>5.25496860222365</v>
      </c>
      <c r="J79" s="1">
        <v>5.3355900262652</v>
      </c>
      <c r="K79" s="1">
        <v>5.46710136900175</v>
      </c>
      <c r="L79" s="1">
        <v>0.1157112</v>
      </c>
      <c r="M79" s="1">
        <v>8.1019080239692</v>
      </c>
      <c r="N79" s="1">
        <v>3.637586</v>
      </c>
      <c r="O79" s="1">
        <v>10.8850977505309</v>
      </c>
      <c r="P79" s="1">
        <v>202.684568595475</v>
      </c>
      <c r="Q79" s="1">
        <v>190.515472614508</v>
      </c>
      <c r="R79" s="1">
        <v>206.595199316669</v>
      </c>
      <c r="S79" s="1">
        <v>235.772879873224</v>
      </c>
      <c r="T79" s="1">
        <v>103.5</v>
      </c>
      <c r="U79" s="1">
        <v>3299.76</v>
      </c>
      <c r="V79" s="1">
        <v>37</v>
      </c>
      <c r="W79" s="1">
        <v>53374</v>
      </c>
      <c r="X79" s="1">
        <v>0.521667818900152</v>
      </c>
      <c r="Y79" s="1">
        <v>7.27</v>
      </c>
      <c r="Z79" s="1">
        <v>0.475800000008269</v>
      </c>
      <c r="AA79" s="1">
        <v>6.18558653747536</v>
      </c>
      <c r="AB79" s="1">
        <f t="shared" si="3"/>
        <v>1.82222183359963</v>
      </c>
      <c r="AC79" s="1">
        <v>2.57862048339564</v>
      </c>
      <c r="AD79" s="1">
        <v>0.0101662436548223</v>
      </c>
      <c r="AE79" s="1">
        <v>0.903956272774597</v>
      </c>
      <c r="AF79" s="1">
        <v>33</v>
      </c>
      <c r="AG79" s="1">
        <v>0.374472</v>
      </c>
      <c r="AH79" s="2">
        <v>4.64919</v>
      </c>
      <c r="AI79" s="1">
        <v>47.6726726726727</v>
      </c>
      <c r="AJ79" s="1">
        <v>0.489554426933347</v>
      </c>
      <c r="AK79" s="1">
        <v>0.498015718621119</v>
      </c>
      <c r="AL79" s="1">
        <v>0.178645401822701</v>
      </c>
      <c r="AM79" s="1">
        <v>0.846801259875045</v>
      </c>
      <c r="AN79" s="1">
        <v>996</v>
      </c>
      <c r="AO79" s="1">
        <v>0.04912604</v>
      </c>
      <c r="AP79" s="1">
        <v>0.04925458</v>
      </c>
      <c r="AQ79" s="1">
        <v>0.05146391</v>
      </c>
      <c r="AR79" s="1">
        <v>0.04612301</v>
      </c>
      <c r="AS79" s="1">
        <v>0.04932091</v>
      </c>
      <c r="AT79" s="1">
        <v>0.04836313</v>
      </c>
      <c r="AU79" s="1">
        <v>0.04070212</v>
      </c>
      <c r="AV79" s="1">
        <v>0.11003293</v>
      </c>
      <c r="AW79" s="1">
        <v>0.03815376</v>
      </c>
      <c r="AX79" s="1">
        <v>0.06282065</v>
      </c>
      <c r="AY79" s="1">
        <v>0.08990251</v>
      </c>
      <c r="AZ79" s="1">
        <v>2277</v>
      </c>
      <c r="BA79" s="1">
        <v>40.055</v>
      </c>
      <c r="BB79" s="1">
        <f t="shared" si="4"/>
        <v>7.73061406606374</v>
      </c>
      <c r="BC79" s="1">
        <v>0.000426</v>
      </c>
      <c r="BD79" s="1">
        <v>461.85</v>
      </c>
      <c r="BE79" s="1">
        <v>1.04951310157776</v>
      </c>
      <c r="BF79" s="1">
        <v>16.588429</v>
      </c>
      <c r="BG79" s="1">
        <v>1.6626444</v>
      </c>
      <c r="BH79" s="1">
        <v>2480.9361860517</v>
      </c>
      <c r="BI79" s="1">
        <f t="shared" si="5"/>
        <v>7.81639126230164</v>
      </c>
      <c r="BJ79" s="1">
        <v>5.727658333</v>
      </c>
      <c r="BK79" s="1">
        <v>31027.25</v>
      </c>
      <c r="BL79" s="1">
        <v>47.6726726726727</v>
      </c>
      <c r="BM79" s="1">
        <v>289563</v>
      </c>
      <c r="BN79" s="1">
        <v>3740000</v>
      </c>
      <c r="BO79" s="1">
        <v>0.0774</v>
      </c>
      <c r="BP79" s="1">
        <v>0.450807</v>
      </c>
      <c r="BQ79" s="1">
        <v>47.672673</v>
      </c>
      <c r="BR79" s="1">
        <v>17311</v>
      </c>
      <c r="BS79" s="3">
        <v>1800000</v>
      </c>
    </row>
    <row r="80" spans="1:71">
      <c r="A80" s="1" t="s">
        <v>77</v>
      </c>
      <c r="B80" s="1">
        <v>7</v>
      </c>
      <c r="C80" s="1">
        <v>112.67</v>
      </c>
      <c r="D80" s="1">
        <v>22.2813</v>
      </c>
      <c r="E80" s="1">
        <v>2017</v>
      </c>
      <c r="F80" s="1">
        <v>0.31841633914364</v>
      </c>
      <c r="G80" s="1">
        <v>7.69021370256119</v>
      </c>
      <c r="H80" s="1">
        <v>5.44837211491756</v>
      </c>
      <c r="I80" s="1">
        <v>5.35484004382253</v>
      </c>
      <c r="J80" s="1">
        <v>5.56891746210819</v>
      </c>
      <c r="K80" s="1">
        <v>5.50861953469776</v>
      </c>
      <c r="L80" s="1">
        <v>0.1157112</v>
      </c>
      <c r="M80" s="1">
        <v>5.59106160459208</v>
      </c>
      <c r="N80" s="1">
        <v>3.6888795</v>
      </c>
      <c r="O80" s="1">
        <v>10.9868169843397</v>
      </c>
      <c r="P80" s="1">
        <v>231.379570570637</v>
      </c>
      <c r="Q80" s="1">
        <v>210.630122130954</v>
      </c>
      <c r="R80" s="1">
        <v>261.150158051925</v>
      </c>
      <c r="S80" s="1">
        <v>245.810178879288</v>
      </c>
      <c r="T80" s="1">
        <v>111.67</v>
      </c>
      <c r="U80" s="1">
        <v>267.02</v>
      </c>
      <c r="V80" s="1">
        <v>39</v>
      </c>
      <c r="W80" s="1">
        <v>59089</v>
      </c>
      <c r="X80" s="1">
        <v>0.514896289397586</v>
      </c>
      <c r="Y80" s="1">
        <v>4.24</v>
      </c>
      <c r="Z80" s="4">
        <v>0.48</v>
      </c>
      <c r="AA80" s="1">
        <v>6.1926418112473</v>
      </c>
      <c r="AB80" s="1">
        <f t="shared" si="3"/>
        <v>1.82336178260319</v>
      </c>
      <c r="AC80" s="1">
        <v>2.54832484930307</v>
      </c>
      <c r="AD80" s="1">
        <v>0.0102628787878788</v>
      </c>
      <c r="AE80" s="1">
        <v>0.928473031683798</v>
      </c>
      <c r="AF80" s="1">
        <v>33</v>
      </c>
      <c r="AG80" s="1">
        <v>0.379842</v>
      </c>
      <c r="AH80" s="2">
        <v>4.72446</v>
      </c>
      <c r="AI80" s="1">
        <v>47.6726726726727</v>
      </c>
      <c r="AJ80" s="1">
        <v>0.489554426933347</v>
      </c>
      <c r="AK80" s="1">
        <v>0.498015718621119</v>
      </c>
      <c r="AL80" s="1">
        <v>0.178645401822701</v>
      </c>
      <c r="AM80" s="1">
        <v>0.846801259875045</v>
      </c>
      <c r="AN80" s="1">
        <v>996</v>
      </c>
      <c r="AO80" s="1">
        <v>0.04912604</v>
      </c>
      <c r="AP80" s="1">
        <v>0.04925458</v>
      </c>
      <c r="AQ80" s="1">
        <v>0.05146391</v>
      </c>
      <c r="AR80" s="1">
        <v>0.04612301</v>
      </c>
      <c r="AS80" s="1">
        <v>0.04932091</v>
      </c>
      <c r="AT80" s="1">
        <v>0.04836313</v>
      </c>
      <c r="AU80" s="1">
        <v>0.04070212</v>
      </c>
      <c r="AV80" s="1">
        <v>0.11003293</v>
      </c>
      <c r="AW80" s="1">
        <v>0.03815376</v>
      </c>
      <c r="AX80" s="1">
        <v>0.06282065</v>
      </c>
      <c r="AY80" s="1">
        <v>0.08990251</v>
      </c>
      <c r="AZ80" s="1">
        <v>4140</v>
      </c>
      <c r="BA80" s="1">
        <v>40.641</v>
      </c>
      <c r="BB80" s="1">
        <f t="shared" si="4"/>
        <v>8.32845106681936</v>
      </c>
      <c r="BC80" s="1">
        <v>0.000697</v>
      </c>
      <c r="BD80" s="1">
        <v>465.12</v>
      </c>
      <c r="BE80" s="1">
        <v>1.04146873950958</v>
      </c>
      <c r="BF80" s="1">
        <v>86.111778</v>
      </c>
      <c r="BG80" s="1">
        <v>1.7699088</v>
      </c>
      <c r="BH80" s="1">
        <v>2745.889824</v>
      </c>
      <c r="BI80" s="1">
        <f t="shared" si="5"/>
        <v>7.9178604631632</v>
      </c>
      <c r="BJ80" s="1">
        <v>5.727658333</v>
      </c>
      <c r="BK80" s="1">
        <v>32965.27</v>
      </c>
      <c r="BL80" s="1">
        <v>47.6726726726727</v>
      </c>
      <c r="BM80" s="1">
        <v>289563</v>
      </c>
      <c r="BN80" s="1">
        <v>3740000</v>
      </c>
      <c r="BO80" s="1">
        <v>0.0774</v>
      </c>
      <c r="BP80" s="1">
        <v>0.450807</v>
      </c>
      <c r="BQ80" s="1">
        <v>47.672673</v>
      </c>
      <c r="BR80" s="1">
        <v>17311</v>
      </c>
      <c r="BS80" s="3">
        <v>1800000</v>
      </c>
    </row>
    <row r="81" spans="1:71">
      <c r="A81" s="1" t="s">
        <v>77</v>
      </c>
      <c r="B81" s="1">
        <v>7</v>
      </c>
      <c r="C81" s="1">
        <v>112.67</v>
      </c>
      <c r="D81" s="1">
        <v>22.2813</v>
      </c>
      <c r="E81" s="1">
        <v>2018</v>
      </c>
      <c r="F81" s="1">
        <v>0.319986815874106</v>
      </c>
      <c r="G81" s="1">
        <v>7.78797134035703</v>
      </c>
      <c r="H81" s="1">
        <v>5.51602506555093</v>
      </c>
      <c r="I81" s="1">
        <v>5.43809413316114</v>
      </c>
      <c r="J81" s="1">
        <v>5.56087737454882</v>
      </c>
      <c r="K81" s="1">
        <v>5.66810814322429</v>
      </c>
      <c r="L81" s="1">
        <v>0.1157112</v>
      </c>
      <c r="M81" s="1">
        <v>6.15466699295522</v>
      </c>
      <c r="N81" s="1">
        <v>3.871201</v>
      </c>
      <c r="O81" s="1">
        <v>11.056098639081</v>
      </c>
      <c r="P81" s="1">
        <v>247.644723814915</v>
      </c>
      <c r="Q81" s="1">
        <v>229.003409569039</v>
      </c>
      <c r="R81" s="1">
        <v>259.05089833223</v>
      </c>
      <c r="S81" s="1">
        <v>288.486349336838</v>
      </c>
      <c r="T81" s="1">
        <v>123.33</v>
      </c>
      <c r="U81" s="1">
        <v>469.91</v>
      </c>
      <c r="V81" s="1">
        <v>47</v>
      </c>
      <c r="W81" s="1">
        <v>63328</v>
      </c>
      <c r="X81" s="1">
        <v>0.507963140211377</v>
      </c>
      <c r="Y81" s="1">
        <v>16.82</v>
      </c>
      <c r="Z81" s="1">
        <v>0.485499999982761</v>
      </c>
      <c r="AA81" s="1">
        <v>6.20409760229089</v>
      </c>
      <c r="AB81" s="1">
        <f t="shared" si="3"/>
        <v>1.82520997734575</v>
      </c>
      <c r="AC81" s="1">
        <v>2.58082728587809</v>
      </c>
      <c r="AD81" s="1">
        <v>0.0105563909774436</v>
      </c>
      <c r="AE81" s="1">
        <v>0.939652025793892</v>
      </c>
      <c r="AF81" s="1">
        <v>34</v>
      </c>
      <c r="AG81" s="1">
        <v>0.43966</v>
      </c>
      <c r="AH81" s="2">
        <v>4.82294</v>
      </c>
      <c r="AI81" s="1">
        <v>47.6726726726727</v>
      </c>
      <c r="AJ81" s="1">
        <v>0.489554426933347</v>
      </c>
      <c r="AK81" s="1">
        <v>0.498015718621119</v>
      </c>
      <c r="AL81" s="1">
        <v>0.178645401822701</v>
      </c>
      <c r="AM81" s="1">
        <v>0.846801259875045</v>
      </c>
      <c r="AN81" s="1">
        <v>996</v>
      </c>
      <c r="AO81" s="1">
        <v>0.04912604</v>
      </c>
      <c r="AP81" s="1">
        <v>0.04925458</v>
      </c>
      <c r="AQ81" s="1">
        <v>0.05146391</v>
      </c>
      <c r="AR81" s="1">
        <v>0.04612301</v>
      </c>
      <c r="AS81" s="1">
        <v>0.04932091</v>
      </c>
      <c r="AT81" s="1">
        <v>0.04836313</v>
      </c>
      <c r="AU81" s="1">
        <v>0.04070212</v>
      </c>
      <c r="AV81" s="1">
        <v>0.11003293</v>
      </c>
      <c r="AW81" s="1">
        <v>0.03815376</v>
      </c>
      <c r="AX81" s="1">
        <v>0.06282065</v>
      </c>
      <c r="AY81" s="1">
        <v>0.08990251</v>
      </c>
      <c r="AZ81" s="1">
        <v>4092</v>
      </c>
      <c r="BA81" s="1">
        <v>42.12</v>
      </c>
      <c r="BB81" s="1">
        <f t="shared" si="4"/>
        <v>8.31678912707152</v>
      </c>
      <c r="BC81" s="1">
        <v>0.00077</v>
      </c>
      <c r="BD81" s="1">
        <v>470.38</v>
      </c>
      <c r="BE81" s="1">
        <v>1.10697102546692</v>
      </c>
      <c r="BF81" s="1">
        <v>2.11115</v>
      </c>
      <c r="BG81" s="1">
        <v>0.6609796</v>
      </c>
      <c r="BH81" s="1">
        <v>3001.2433</v>
      </c>
      <c r="BI81" s="1">
        <f t="shared" si="5"/>
        <v>8.0067819151298</v>
      </c>
      <c r="BJ81" s="1">
        <v>5.727658333</v>
      </c>
      <c r="BK81" s="1">
        <v>34801.4</v>
      </c>
      <c r="BL81" s="1">
        <v>47.6726726726727</v>
      </c>
      <c r="BM81" s="1">
        <v>289563</v>
      </c>
      <c r="BN81" s="1">
        <v>3740000</v>
      </c>
      <c r="BO81" s="1">
        <v>0.0774</v>
      </c>
      <c r="BP81" s="1">
        <v>0.450807</v>
      </c>
      <c r="BQ81" s="1">
        <v>47.672673</v>
      </c>
      <c r="BR81" s="1">
        <v>17311</v>
      </c>
      <c r="BS81" s="3">
        <v>1800000</v>
      </c>
    </row>
    <row r="82" spans="1:71">
      <c r="A82" s="1" t="s">
        <v>77</v>
      </c>
      <c r="B82" s="1">
        <v>7</v>
      </c>
      <c r="C82" s="1">
        <v>112.67</v>
      </c>
      <c r="D82" s="1">
        <v>22.2813</v>
      </c>
      <c r="E82" s="1">
        <v>2019</v>
      </c>
      <c r="F82" s="1">
        <v>0.320909163183896</v>
      </c>
      <c r="G82" s="1">
        <v>7.75873815364226</v>
      </c>
      <c r="H82" s="1">
        <v>5.55754028445656</v>
      </c>
      <c r="I82" s="1">
        <v>5.50289234074882</v>
      </c>
      <c r="J82" s="1">
        <v>5.58411138011285</v>
      </c>
      <c r="K82" s="1">
        <v>5.67686392634138</v>
      </c>
      <c r="L82" s="1">
        <v>0.1157112</v>
      </c>
      <c r="M82" s="1">
        <v>6.59770489066834</v>
      </c>
      <c r="N82" s="1">
        <v>3.6109178</v>
      </c>
      <c r="O82" s="1">
        <v>11.1301270405949</v>
      </c>
      <c r="P82" s="1">
        <v>258.184531431764</v>
      </c>
      <c r="Q82" s="1">
        <v>244.400689201166</v>
      </c>
      <c r="R82" s="1">
        <v>265.163659294273</v>
      </c>
      <c r="S82" s="1">
        <v>291.03215804611</v>
      </c>
      <c r="T82" s="1">
        <v>132.26</v>
      </c>
      <c r="U82" s="1">
        <v>732.41</v>
      </c>
      <c r="V82" s="1">
        <v>36</v>
      </c>
      <c r="W82" s="1">
        <v>68194.035</v>
      </c>
      <c r="X82" s="1">
        <v>0.452990651975074</v>
      </c>
      <c r="Y82" s="1">
        <v>8.4</v>
      </c>
      <c r="Z82" s="1">
        <v>0.4298</v>
      </c>
      <c r="AA82" s="1">
        <v>6.21454498503898</v>
      </c>
      <c r="AB82" s="1">
        <f t="shared" si="3"/>
        <v>1.82689250989941</v>
      </c>
      <c r="AC82" s="1">
        <v>2.68504676078156</v>
      </c>
      <c r="AD82" s="1">
        <v>0.011994</v>
      </c>
      <c r="AE82" s="1">
        <v>0.824600046371435</v>
      </c>
      <c r="AF82" s="1">
        <v>26</v>
      </c>
      <c r="AG82" s="1">
        <v>0.434616</v>
      </c>
      <c r="AH82" s="2">
        <v>4.8923</v>
      </c>
      <c r="AI82" s="1">
        <v>47.6726726726727</v>
      </c>
      <c r="AJ82" s="1">
        <v>0.489554426933347</v>
      </c>
      <c r="AK82" s="1">
        <v>0.498015718621119</v>
      </c>
      <c r="AL82" s="1">
        <v>0.178645401822701</v>
      </c>
      <c r="AM82" s="1">
        <v>0.846801259875045</v>
      </c>
      <c r="AN82" s="1">
        <v>996</v>
      </c>
      <c r="AO82" s="1">
        <v>0.04912604</v>
      </c>
      <c r="AP82" s="1">
        <v>0.04925458</v>
      </c>
      <c r="AQ82" s="1">
        <v>0.05146391</v>
      </c>
      <c r="AR82" s="1">
        <v>0.04612301</v>
      </c>
      <c r="AS82" s="1">
        <v>0.04932091</v>
      </c>
      <c r="AT82" s="1">
        <v>0.04836313</v>
      </c>
      <c r="AU82" s="1">
        <v>0.04070212</v>
      </c>
      <c r="AV82" s="1">
        <v>0.11003293</v>
      </c>
      <c r="AW82" s="1">
        <v>0.03815376</v>
      </c>
      <c r="AX82" s="1">
        <v>0.06282065</v>
      </c>
      <c r="AY82" s="1">
        <v>0.08990251</v>
      </c>
      <c r="AZ82" s="1">
        <v>3441</v>
      </c>
      <c r="BA82" s="1">
        <v>47.976</v>
      </c>
      <c r="BB82" s="1">
        <f t="shared" si="4"/>
        <v>8.14351740579748</v>
      </c>
      <c r="BC82" s="1">
        <v>0.00116</v>
      </c>
      <c r="BD82" s="1">
        <v>475.32</v>
      </c>
      <c r="BE82" s="1">
        <v>1.1829309463501</v>
      </c>
      <c r="BF82" s="1">
        <v>0.257006</v>
      </c>
      <c r="BG82" s="1">
        <v>1.4785958</v>
      </c>
      <c r="BH82" s="1">
        <v>3150.218821</v>
      </c>
      <c r="BI82" s="1">
        <f t="shared" si="5"/>
        <v>8.05522719639109</v>
      </c>
      <c r="BJ82" s="1">
        <v>5.727658333</v>
      </c>
      <c r="BK82" s="1">
        <v>37349.82</v>
      </c>
      <c r="BL82" s="1">
        <v>47.6726726726727</v>
      </c>
      <c r="BM82" s="1">
        <v>289563</v>
      </c>
      <c r="BN82" s="1">
        <v>3740000</v>
      </c>
      <c r="BO82" s="1">
        <v>0.0774</v>
      </c>
      <c r="BP82" s="1">
        <v>0.450807</v>
      </c>
      <c r="BQ82" s="1">
        <v>47.672673</v>
      </c>
      <c r="BR82" s="1">
        <v>17311</v>
      </c>
      <c r="BS82" s="3">
        <v>1800000</v>
      </c>
    </row>
    <row r="83" spans="1:71">
      <c r="A83" s="1" t="s">
        <v>77</v>
      </c>
      <c r="B83" s="1">
        <v>7</v>
      </c>
      <c r="C83" s="1">
        <v>112.67</v>
      </c>
      <c r="D83" s="1">
        <v>22.2813</v>
      </c>
      <c r="E83" s="1">
        <v>2020</v>
      </c>
      <c r="F83" s="1">
        <v>0.357073003035886</v>
      </c>
      <c r="G83" s="1">
        <v>7.8398423680724</v>
      </c>
      <c r="H83" s="1">
        <v>5.60086603647291</v>
      </c>
      <c r="I83" s="1">
        <v>5.55798483369349</v>
      </c>
      <c r="J83" s="1">
        <v>5.62630584478704</v>
      </c>
      <c r="K83" s="1">
        <v>5.68873024849679</v>
      </c>
      <c r="L83" s="1">
        <v>0.1157112</v>
      </c>
      <c r="M83" s="1">
        <v>8.17583744987199</v>
      </c>
      <c r="N83" s="1">
        <v>3.583519</v>
      </c>
      <c r="O83" s="1">
        <v>11.1122310599399</v>
      </c>
      <c r="P83" s="1">
        <v>269.660708021334</v>
      </c>
      <c r="Q83" s="1">
        <v>258.299777286189</v>
      </c>
      <c r="R83" s="1">
        <v>276.634595597154</v>
      </c>
      <c r="S83" s="1">
        <v>294.518147664927</v>
      </c>
      <c r="T83" s="1">
        <v>144.95</v>
      </c>
      <c r="U83" s="1">
        <v>3553.03</v>
      </c>
      <c r="V83" s="1">
        <v>35</v>
      </c>
      <c r="W83" s="1">
        <v>66984.4734</v>
      </c>
      <c r="X83" s="1">
        <v>0.446401361344362</v>
      </c>
      <c r="Y83" s="1">
        <v>12.03</v>
      </c>
      <c r="Z83" s="1">
        <v>0.4164</v>
      </c>
      <c r="AA83" s="1">
        <v>6.22519662959301</v>
      </c>
      <c r="AB83" s="1">
        <f t="shared" si="3"/>
        <v>1.82860502893512</v>
      </c>
      <c r="AC83" s="1">
        <v>3.03149202261139</v>
      </c>
      <c r="AD83" s="1">
        <v>0.0139427148194271</v>
      </c>
      <c r="AE83" s="1">
        <v>0.459063047285464</v>
      </c>
      <c r="AF83" s="1">
        <v>21</v>
      </c>
      <c r="AG83" s="1">
        <v>0.4676</v>
      </c>
      <c r="AH83" s="2">
        <v>4.98326</v>
      </c>
      <c r="AI83" s="1">
        <v>47.6726726726727</v>
      </c>
      <c r="AJ83" s="1">
        <v>0.489554426933347</v>
      </c>
      <c r="AK83" s="1">
        <v>0.498015718621119</v>
      </c>
      <c r="AL83" s="1">
        <v>0.178645401822701</v>
      </c>
      <c r="AM83" s="1">
        <v>0.846801259875045</v>
      </c>
      <c r="AN83" s="1">
        <v>996</v>
      </c>
      <c r="AO83" s="1">
        <v>0.04912604</v>
      </c>
      <c r="AP83" s="1">
        <v>0.04925458</v>
      </c>
      <c r="AQ83" s="1">
        <v>0.05146391</v>
      </c>
      <c r="AR83" s="1">
        <v>0.04612301</v>
      </c>
      <c r="AS83" s="1">
        <v>0.04932091</v>
      </c>
      <c r="AT83" s="1">
        <v>0.04836313</v>
      </c>
      <c r="AU83" s="1">
        <v>0.04070212</v>
      </c>
      <c r="AV83" s="1">
        <v>0.11003293</v>
      </c>
      <c r="AW83" s="1">
        <v>0.03815376</v>
      </c>
      <c r="AX83" s="1">
        <v>0.06282065</v>
      </c>
      <c r="AY83" s="1">
        <v>0.08990251</v>
      </c>
      <c r="AZ83" s="1">
        <v>4954</v>
      </c>
      <c r="BA83" s="1">
        <v>55.98</v>
      </c>
      <c r="BB83" s="1">
        <f t="shared" si="4"/>
        <v>8.5079506100493</v>
      </c>
      <c r="BC83" s="1">
        <v>0.000405</v>
      </c>
      <c r="BD83" s="1">
        <v>480.41</v>
      </c>
      <c r="BE83" s="1">
        <v>1.19502186775208</v>
      </c>
      <c r="BF83" s="1">
        <v>17.238209</v>
      </c>
      <c r="BG83" s="1">
        <v>1.061431</v>
      </c>
      <c r="BH83" s="1">
        <v>3200.9535</v>
      </c>
      <c r="BI83" s="1">
        <f t="shared" si="5"/>
        <v>8.07120401315395</v>
      </c>
      <c r="BJ83" s="1">
        <v>5.727658333</v>
      </c>
      <c r="BK83" s="1">
        <v>38498.92</v>
      </c>
      <c r="BL83" s="1">
        <v>47.6726726726727</v>
      </c>
      <c r="BM83" s="1">
        <v>289563</v>
      </c>
      <c r="BN83" s="1">
        <v>3740000</v>
      </c>
      <c r="BO83" s="1">
        <v>0.0774</v>
      </c>
      <c r="BP83" s="1">
        <v>0.450807</v>
      </c>
      <c r="BQ83" s="1">
        <v>47.672673</v>
      </c>
      <c r="BR83" s="1">
        <v>17311</v>
      </c>
      <c r="BS83" s="3">
        <v>1800000</v>
      </c>
    </row>
    <row r="84" spans="1:71">
      <c r="A84" s="1" t="s">
        <v>77</v>
      </c>
      <c r="B84" s="1">
        <v>7</v>
      </c>
      <c r="C84" s="1">
        <v>112.67</v>
      </c>
      <c r="D84" s="1">
        <v>22.2813</v>
      </c>
      <c r="E84" s="1">
        <v>2021</v>
      </c>
      <c r="F84" s="1">
        <v>0.423519518004155</v>
      </c>
      <c r="G84" s="1">
        <v>7.93792873729701</v>
      </c>
      <c r="H84" s="1">
        <v>5.70391008917978</v>
      </c>
      <c r="I84" s="1">
        <v>5.70078610502103</v>
      </c>
      <c r="J84" s="1">
        <v>5.69640288668683</v>
      </c>
      <c r="K84" s="1">
        <v>5.72757869503798</v>
      </c>
      <c r="L84" s="1">
        <v>0.1157112</v>
      </c>
      <c r="M84" s="1">
        <v>7.52345970239942</v>
      </c>
      <c r="N84" s="1">
        <v>4.26268</v>
      </c>
      <c r="O84" s="1">
        <v>10.8151289871582</v>
      </c>
      <c r="P84" s="1">
        <v>299.038286764744</v>
      </c>
      <c r="Q84" s="1">
        <v>298.102434490473</v>
      </c>
      <c r="R84" s="1">
        <v>296.794272259253</v>
      </c>
      <c r="S84" s="1">
        <v>306.22448292273</v>
      </c>
      <c r="T84" s="1">
        <v>150.58</v>
      </c>
      <c r="U84" s="1">
        <v>1849.96</v>
      </c>
      <c r="V84" s="1">
        <v>70</v>
      </c>
      <c r="W84" s="1">
        <v>49767.0747</v>
      </c>
      <c r="X84" s="1">
        <v>0.496852000580127</v>
      </c>
      <c r="Y84" s="1">
        <v>11.99</v>
      </c>
      <c r="Z84" s="1">
        <v>0.4557</v>
      </c>
      <c r="AA84" s="1">
        <v>6.23162872081989</v>
      </c>
      <c r="AB84" s="1">
        <f t="shared" si="3"/>
        <v>1.8296377305453</v>
      </c>
      <c r="AC84" s="1">
        <v>2.95972604632508</v>
      </c>
      <c r="AD84" s="1">
        <v>0.0158856079404467</v>
      </c>
      <c r="AE84" s="1">
        <v>0.438527397260274</v>
      </c>
      <c r="AF84" s="1">
        <v>45</v>
      </c>
      <c r="AG84" s="1">
        <v>0.449852</v>
      </c>
      <c r="AH84" s="2">
        <v>5.02111</v>
      </c>
      <c r="AI84" s="1">
        <v>47.6726726726727</v>
      </c>
      <c r="AJ84" s="1">
        <v>0.489554426933347</v>
      </c>
      <c r="AK84" s="1">
        <v>0.498015718621119</v>
      </c>
      <c r="AL84" s="1">
        <v>0.178645401822701</v>
      </c>
      <c r="AM84" s="1">
        <v>0.846801259875045</v>
      </c>
      <c r="AN84" s="1">
        <v>996</v>
      </c>
      <c r="AO84" s="1">
        <v>0.04912604</v>
      </c>
      <c r="AP84" s="1">
        <v>0.04925458</v>
      </c>
      <c r="AQ84" s="1">
        <v>0.05146391</v>
      </c>
      <c r="AR84" s="1">
        <v>0.04612301</v>
      </c>
      <c r="AS84" s="1">
        <v>0.04932091</v>
      </c>
      <c r="AT84" s="1">
        <v>0.04836313</v>
      </c>
      <c r="AU84" s="1">
        <v>0.04070212</v>
      </c>
      <c r="AV84" s="1">
        <v>0.11003293</v>
      </c>
      <c r="AW84" s="1">
        <v>0.03815376</v>
      </c>
      <c r="AX84" s="1">
        <v>0.06282065</v>
      </c>
      <c r="AY84" s="1">
        <v>0.08990251</v>
      </c>
      <c r="AZ84" s="1">
        <v>4461</v>
      </c>
      <c r="BA84" s="1">
        <v>67.578</v>
      </c>
      <c r="BB84" s="1">
        <f t="shared" si="4"/>
        <v>8.40312823512827</v>
      </c>
      <c r="BC84" s="1">
        <v>0.00103</v>
      </c>
      <c r="BD84" s="1">
        <v>483.51</v>
      </c>
      <c r="BE84" s="1">
        <v>1.01528310775757</v>
      </c>
      <c r="BF84" s="1">
        <v>1507.1552039</v>
      </c>
      <c r="BG84" s="1">
        <v>0.8132483</v>
      </c>
      <c r="BH84" s="1">
        <v>3601.2804</v>
      </c>
      <c r="BI84" s="1">
        <f t="shared" si="5"/>
        <v>8.18904472787647</v>
      </c>
      <c r="BJ84" s="1">
        <v>5.727658333</v>
      </c>
      <c r="BK84" s="1">
        <v>44584.37</v>
      </c>
      <c r="BL84" s="1">
        <v>47.6726726726727</v>
      </c>
      <c r="BM84" s="1">
        <v>289563</v>
      </c>
      <c r="BN84" s="1">
        <v>3740000</v>
      </c>
      <c r="BO84" s="1">
        <v>0.0774</v>
      </c>
      <c r="BP84" s="1">
        <v>0.450807</v>
      </c>
      <c r="BQ84" s="1">
        <v>47.672673</v>
      </c>
      <c r="BR84" s="1">
        <v>17311</v>
      </c>
      <c r="BS84" s="3">
        <v>1800000</v>
      </c>
    </row>
    <row r="85" spans="1:71">
      <c r="A85" s="1" t="s">
        <v>77</v>
      </c>
      <c r="B85" s="1">
        <v>7</v>
      </c>
      <c r="C85" s="1">
        <v>112.67</v>
      </c>
      <c r="D85" s="1">
        <v>22.2813</v>
      </c>
      <c r="E85" s="1">
        <v>2022</v>
      </c>
      <c r="F85" s="1">
        <v>0.419231195095809</v>
      </c>
      <c r="G85" s="1">
        <v>7.69058315759717</v>
      </c>
      <c r="H85" s="1">
        <v>5.72533722947875</v>
      </c>
      <c r="I85" s="1">
        <v>5.76915389227667</v>
      </c>
      <c r="J85" s="1">
        <v>5.62088662633954</v>
      </c>
      <c r="K85" s="1">
        <v>5.75721336951376</v>
      </c>
      <c r="L85" s="1">
        <v>0.1157112</v>
      </c>
      <c r="M85" s="1">
        <v>4.84623223780464</v>
      </c>
      <c r="N85" s="1">
        <v>4.304065</v>
      </c>
      <c r="O85" s="1">
        <v>11.2663469473968</v>
      </c>
      <c r="P85" s="1">
        <v>305.536621034121</v>
      </c>
      <c r="Q85" s="1">
        <v>319.266637914337</v>
      </c>
      <c r="R85" s="1">
        <v>275.134102511166</v>
      </c>
      <c r="S85" s="1">
        <v>315.465227435136</v>
      </c>
      <c r="T85" s="1">
        <v>143.8105</v>
      </c>
      <c r="U85" s="1">
        <v>126.26</v>
      </c>
      <c r="V85" s="1">
        <v>73</v>
      </c>
      <c r="W85" s="1">
        <v>78146</v>
      </c>
      <c r="X85" s="1">
        <v>0.46976135852674</v>
      </c>
      <c r="Y85" s="1">
        <v>10.93</v>
      </c>
      <c r="Z85" s="1">
        <v>0.4568</v>
      </c>
      <c r="AA85" s="1">
        <v>6.22895716506983</v>
      </c>
      <c r="AB85" s="1">
        <f t="shared" si="3"/>
        <v>1.82920892955384</v>
      </c>
      <c r="AC85" s="1">
        <v>3.15068876910731</v>
      </c>
      <c r="AD85" s="1">
        <v>0.0186555831265509</v>
      </c>
      <c r="AE85" s="1">
        <v>0.438527397260274</v>
      </c>
      <c r="AF85" s="1">
        <v>35</v>
      </c>
      <c r="AG85" s="1">
        <v>0.460572</v>
      </c>
      <c r="AH85" s="2">
        <v>4.97543</v>
      </c>
      <c r="AI85" s="1">
        <v>47.6726726726727</v>
      </c>
      <c r="AJ85" s="1">
        <v>0.489554426933347</v>
      </c>
      <c r="AK85" s="1">
        <v>0.498015718621119</v>
      </c>
      <c r="AL85" s="1">
        <v>0.178645401822701</v>
      </c>
      <c r="AM85" s="1">
        <v>0.846801259875045</v>
      </c>
      <c r="AN85" s="1">
        <v>996</v>
      </c>
      <c r="AO85" s="1">
        <v>0.04912604</v>
      </c>
      <c r="AP85" s="1">
        <v>0.04925458</v>
      </c>
      <c r="AQ85" s="1">
        <v>0.05146391</v>
      </c>
      <c r="AR85" s="1">
        <v>0.04612301</v>
      </c>
      <c r="AS85" s="1">
        <v>0.04932091</v>
      </c>
      <c r="AT85" s="1">
        <v>0.04836313</v>
      </c>
      <c r="AU85" s="1">
        <v>0.04070212</v>
      </c>
      <c r="AV85" s="1">
        <v>0.11003293</v>
      </c>
      <c r="AW85" s="1">
        <v>0.03815376</v>
      </c>
      <c r="AX85" s="1">
        <v>0.06282065</v>
      </c>
      <c r="AY85" s="1">
        <v>0.08990251</v>
      </c>
      <c r="AZ85" s="1">
        <v>4127</v>
      </c>
      <c r="BA85" s="1">
        <v>75.182</v>
      </c>
      <c r="BB85" s="1">
        <f t="shared" si="4"/>
        <v>8.32530602975258</v>
      </c>
      <c r="BC85" s="1">
        <v>0.00103</v>
      </c>
      <c r="BD85" s="1">
        <v>482.22</v>
      </c>
      <c r="BE85" s="1">
        <v>1.00088185467963</v>
      </c>
      <c r="BF85" s="1">
        <v>67487.2918905</v>
      </c>
      <c r="BG85" s="1">
        <v>0.4937173</v>
      </c>
      <c r="BH85" s="1">
        <v>3773.41</v>
      </c>
      <c r="BI85" s="1">
        <f t="shared" si="5"/>
        <v>8.23573438090386</v>
      </c>
      <c r="BJ85" s="1">
        <v>5.727658333</v>
      </c>
      <c r="BK85" s="1">
        <v>46521.04</v>
      </c>
      <c r="BL85" s="1">
        <v>47.6726726726727</v>
      </c>
      <c r="BM85" s="1">
        <v>289563</v>
      </c>
      <c r="BN85" s="1">
        <v>3740000</v>
      </c>
      <c r="BO85" s="1">
        <v>0.0774</v>
      </c>
      <c r="BP85" s="1">
        <v>0.450807</v>
      </c>
      <c r="BQ85" s="1">
        <v>47.672673</v>
      </c>
      <c r="BR85" s="1">
        <v>17311</v>
      </c>
      <c r="BS85" s="3">
        <v>1800000</v>
      </c>
    </row>
    <row r="86" spans="1:71">
      <c r="A86" s="1" t="s">
        <v>78</v>
      </c>
      <c r="B86" s="1">
        <v>8</v>
      </c>
      <c r="C86" s="1">
        <v>110.164</v>
      </c>
      <c r="D86" s="1">
        <v>21.0965</v>
      </c>
      <c r="E86" s="1">
        <v>2011</v>
      </c>
      <c r="F86" s="1">
        <v>0.525084049702851</v>
      </c>
      <c r="G86" s="1">
        <v>7.33119014223803</v>
      </c>
      <c r="H86" s="1">
        <v>3.88197608407584</v>
      </c>
      <c r="I86" s="1">
        <v>3.36245655334572</v>
      </c>
      <c r="J86" s="1">
        <v>4.1753099210452</v>
      </c>
      <c r="K86" s="1">
        <v>4.42316857800505</v>
      </c>
      <c r="L86" s="1">
        <v>0.6867537</v>
      </c>
      <c r="M86" s="1">
        <v>5.7914880550753</v>
      </c>
      <c r="N86" s="1">
        <v>2.0794415</v>
      </c>
      <c r="O86" s="1">
        <v>10.0926192012586</v>
      </c>
      <c r="P86" s="1">
        <v>47.52</v>
      </c>
      <c r="Q86" s="1">
        <v>27.86</v>
      </c>
      <c r="R86" s="1">
        <v>64.06</v>
      </c>
      <c r="S86" s="1">
        <v>82.36</v>
      </c>
      <c r="T86" s="1">
        <v>56.88</v>
      </c>
      <c r="U86" s="1">
        <v>326.5</v>
      </c>
      <c r="V86" s="1">
        <v>7</v>
      </c>
      <c r="W86" s="1">
        <v>24163</v>
      </c>
      <c r="X86" s="1">
        <v>0.167295135073712</v>
      </c>
      <c r="Y86" s="1">
        <v>9.88</v>
      </c>
      <c r="Z86" s="1">
        <v>0.417800000023526</v>
      </c>
      <c r="AA86" s="1">
        <v>6.28139362057128</v>
      </c>
      <c r="AB86" s="1">
        <f t="shared" si="3"/>
        <v>1.83759186996452</v>
      </c>
      <c r="AC86" s="1">
        <v>1.50907084653157</v>
      </c>
      <c r="AD86" s="1">
        <v>0.0102966797121576</v>
      </c>
      <c r="AE86" s="1">
        <v>1.14808948723025</v>
      </c>
      <c r="AF86" s="1">
        <v>5</v>
      </c>
      <c r="AG86" s="1">
        <v>0.320106</v>
      </c>
      <c r="AH86" s="2">
        <v>4.05837</v>
      </c>
      <c r="AI86" s="1">
        <v>30.6363423611259</v>
      </c>
      <c r="AJ86" s="1">
        <v>0.0812393198307981</v>
      </c>
      <c r="AK86" s="1">
        <v>0.24583065620024</v>
      </c>
      <c r="AL86" s="1">
        <v>0.309170670566117</v>
      </c>
      <c r="AM86" s="1">
        <v>0.366588823114104</v>
      </c>
      <c r="AN86" s="1">
        <v>747</v>
      </c>
      <c r="AO86" s="1">
        <v>0.01708468</v>
      </c>
      <c r="AP86" s="1">
        <v>0.05490758</v>
      </c>
      <c r="AQ86" s="1">
        <v>0.01995186</v>
      </c>
      <c r="AR86" s="1">
        <v>0.01620284</v>
      </c>
      <c r="AS86" s="1">
        <v>0.05429302</v>
      </c>
      <c r="AT86" s="1">
        <v>0.01870255</v>
      </c>
      <c r="AU86" s="1">
        <v>0.06369236</v>
      </c>
      <c r="AV86" s="1">
        <v>0.0253991</v>
      </c>
      <c r="AW86" s="1">
        <v>0.02623023</v>
      </c>
      <c r="AX86" s="1">
        <v>0</v>
      </c>
      <c r="AY86" s="1">
        <v>0.0246014</v>
      </c>
      <c r="AZ86" s="1">
        <v>210</v>
      </c>
      <c r="BA86" s="1">
        <v>81.56</v>
      </c>
      <c r="BB86" s="1">
        <f t="shared" si="4"/>
        <v>5.34710753071747</v>
      </c>
      <c r="BC86" s="1">
        <v>0.00104</v>
      </c>
      <c r="BD86" s="1">
        <v>792.1</v>
      </c>
      <c r="BE86" s="1">
        <v>0.908819615840912</v>
      </c>
      <c r="BF86" s="1">
        <v>-60.4990453</v>
      </c>
      <c r="BG86" s="1">
        <v>0.5477695</v>
      </c>
      <c r="BH86" s="1">
        <v>1699.019802</v>
      </c>
      <c r="BI86" s="1">
        <f t="shared" si="5"/>
        <v>7.43780677669524</v>
      </c>
      <c r="BJ86" s="1">
        <v>3.72385</v>
      </c>
      <c r="BK86" s="1">
        <v>14922.59</v>
      </c>
      <c r="BL86" s="1">
        <v>30.6363423611259</v>
      </c>
      <c r="BM86" s="1">
        <v>321876</v>
      </c>
      <c r="BN86" s="1">
        <v>6070000</v>
      </c>
      <c r="BO86" s="1">
        <v>0.053</v>
      </c>
      <c r="BP86" s="1">
        <v>0.32632</v>
      </c>
      <c r="BQ86" s="1">
        <v>30.636342</v>
      </c>
      <c r="BR86" s="1">
        <v>12530.7</v>
      </c>
      <c r="BS86" s="3">
        <v>1200000</v>
      </c>
    </row>
    <row r="87" spans="1:71">
      <c r="A87" s="1" t="s">
        <v>78</v>
      </c>
      <c r="B87" s="1">
        <v>8</v>
      </c>
      <c r="C87" s="1">
        <v>110.164</v>
      </c>
      <c r="D87" s="1">
        <v>21.0965</v>
      </c>
      <c r="E87" s="1">
        <v>2012</v>
      </c>
      <c r="F87" s="1">
        <v>0.540852488353334</v>
      </c>
      <c r="G87" s="1">
        <v>7.37637742254079</v>
      </c>
      <c r="H87" s="1">
        <v>4.45504472741045</v>
      </c>
      <c r="I87" s="1">
        <v>4.23280130536911</v>
      </c>
      <c r="J87" s="1">
        <v>4.61264220082679</v>
      </c>
      <c r="K87" s="1">
        <v>4.75367639428731</v>
      </c>
      <c r="L87" s="1">
        <v>0.6867537</v>
      </c>
      <c r="M87" s="1">
        <v>0</v>
      </c>
      <c r="N87" s="1">
        <v>2.8903718</v>
      </c>
      <c r="O87" s="1">
        <v>10.1077336667458</v>
      </c>
      <c r="P87" s="1">
        <v>85.06</v>
      </c>
      <c r="Q87" s="1">
        <v>67.91</v>
      </c>
      <c r="R87" s="1">
        <v>99.75</v>
      </c>
      <c r="S87" s="1">
        <v>115.01</v>
      </c>
      <c r="T87" s="1">
        <v>64.87</v>
      </c>
      <c r="U87" s="1">
        <v>0</v>
      </c>
      <c r="V87" s="1">
        <v>17</v>
      </c>
      <c r="W87" s="1">
        <v>24531</v>
      </c>
      <c r="X87" s="1">
        <v>0.159005573720665</v>
      </c>
      <c r="Y87" s="1">
        <v>3.04</v>
      </c>
      <c r="Z87" s="1">
        <v>0.388699999989249</v>
      </c>
      <c r="AA87" s="1">
        <v>6.27950302883393</v>
      </c>
      <c r="AB87" s="1">
        <f t="shared" si="3"/>
        <v>1.83729084181273</v>
      </c>
      <c r="AC87" s="1">
        <v>1.57704500208201</v>
      </c>
      <c r="AD87" s="1">
        <v>0.0094277890983189</v>
      </c>
      <c r="AE87" s="1">
        <v>0.996989134703495</v>
      </c>
      <c r="AF87" s="1">
        <v>0</v>
      </c>
      <c r="AG87" s="1">
        <v>0.3488</v>
      </c>
      <c r="AH87" s="2">
        <v>4.18768</v>
      </c>
      <c r="AI87" s="1">
        <v>30.6363423611259</v>
      </c>
      <c r="AJ87" s="1">
        <v>0.0812393198307981</v>
      </c>
      <c r="AK87" s="1">
        <v>0.24583065620024</v>
      </c>
      <c r="AL87" s="1">
        <v>0.309170670566117</v>
      </c>
      <c r="AM87" s="1">
        <v>0.366588823114104</v>
      </c>
      <c r="AN87" s="1">
        <v>747</v>
      </c>
      <c r="AO87" s="1">
        <v>0.01708468</v>
      </c>
      <c r="AP87" s="1">
        <v>0.05490758</v>
      </c>
      <c r="AQ87" s="1">
        <v>0.01995186</v>
      </c>
      <c r="AR87" s="1">
        <v>0.01620284</v>
      </c>
      <c r="AS87" s="1">
        <v>0.05429302</v>
      </c>
      <c r="AT87" s="1">
        <v>0.01870255</v>
      </c>
      <c r="AU87" s="1">
        <v>0.06369236</v>
      </c>
      <c r="AV87" s="1">
        <v>0.0253991</v>
      </c>
      <c r="AW87" s="1">
        <v>0.02623023</v>
      </c>
      <c r="AX87" s="1">
        <v>0</v>
      </c>
      <c r="AY87" s="1">
        <v>0.0246014</v>
      </c>
      <c r="AZ87" s="1">
        <v>225</v>
      </c>
      <c r="BA87" s="1">
        <v>74.027</v>
      </c>
      <c r="BB87" s="1">
        <f t="shared" si="4"/>
        <v>5.41610040220442</v>
      </c>
      <c r="BC87" s="1">
        <v>0.000643</v>
      </c>
      <c r="BD87" s="1">
        <v>785.2</v>
      </c>
      <c r="BE87" s="1">
        <v>1.04013442993164</v>
      </c>
      <c r="BF87" s="1">
        <v>-38.416309</v>
      </c>
      <c r="BG87" s="1">
        <v>0.515926</v>
      </c>
      <c r="BH87" s="1">
        <v>1845.702175</v>
      </c>
      <c r="BI87" s="1">
        <f t="shared" si="5"/>
        <v>7.52061506672724</v>
      </c>
      <c r="BJ87" s="1">
        <v>3.72385</v>
      </c>
      <c r="BK87" s="1">
        <v>16743.46</v>
      </c>
      <c r="BL87" s="1">
        <v>30.6363423611259</v>
      </c>
      <c r="BM87" s="1">
        <v>321876</v>
      </c>
      <c r="BN87" s="1">
        <v>6070000</v>
      </c>
      <c r="BO87" s="1">
        <v>0.053</v>
      </c>
      <c r="BP87" s="1">
        <v>0.32632</v>
      </c>
      <c r="BQ87" s="1">
        <v>30.636342</v>
      </c>
      <c r="BR87" s="1">
        <v>12530.7</v>
      </c>
      <c r="BS87" s="3">
        <v>1200000</v>
      </c>
    </row>
    <row r="88" spans="1:71">
      <c r="A88" s="1" t="s">
        <v>78</v>
      </c>
      <c r="B88" s="1">
        <v>8</v>
      </c>
      <c r="C88" s="1">
        <v>110.164</v>
      </c>
      <c r="D88" s="1">
        <v>21.0965</v>
      </c>
      <c r="E88" s="1">
        <v>2013</v>
      </c>
      <c r="F88" s="1">
        <v>0.587899317556148</v>
      </c>
      <c r="G88" s="1">
        <v>7.31508469285852</v>
      </c>
      <c r="H88" s="1">
        <v>4.819313355105</v>
      </c>
      <c r="I88" s="1">
        <v>4.6221256266375</v>
      </c>
      <c r="J88" s="1">
        <v>4.89843663673377</v>
      </c>
      <c r="K88" s="1">
        <v>5.18498068120903</v>
      </c>
      <c r="L88" s="1">
        <v>0.6867537</v>
      </c>
      <c r="M88" s="1">
        <v>2.39789527279837</v>
      </c>
      <c r="N88" s="1">
        <v>2.4849067</v>
      </c>
      <c r="O88" s="1">
        <v>10.2702118323278</v>
      </c>
      <c r="P88" s="1">
        <v>122.88</v>
      </c>
      <c r="Q88" s="1">
        <v>100.71</v>
      </c>
      <c r="R88" s="1">
        <v>133.08</v>
      </c>
      <c r="S88" s="1">
        <v>177.57</v>
      </c>
      <c r="T88" s="1">
        <v>77.99</v>
      </c>
      <c r="U88" s="1">
        <v>10</v>
      </c>
      <c r="V88" s="1">
        <v>11</v>
      </c>
      <c r="W88" s="1">
        <v>28859</v>
      </c>
      <c r="X88" s="1">
        <v>0.165741201837722</v>
      </c>
      <c r="Y88" s="1">
        <v>10.11</v>
      </c>
      <c r="Z88" s="1">
        <v>0.395300000014563</v>
      </c>
      <c r="AA88" s="1">
        <v>6.29242899204052</v>
      </c>
      <c r="AB88" s="1">
        <f t="shared" si="3"/>
        <v>1.83934716342501</v>
      </c>
      <c r="AC88" s="1">
        <v>1.65081005311196</v>
      </c>
      <c r="AD88" s="1">
        <v>0.00952362596369062</v>
      </c>
      <c r="AE88" s="1">
        <v>1.14581081081081</v>
      </c>
      <c r="AF88" s="1">
        <v>1</v>
      </c>
      <c r="AG88" s="1">
        <v>0.383856</v>
      </c>
      <c r="AH88" s="2">
        <v>4.36932</v>
      </c>
      <c r="AI88" s="1">
        <v>30.6363423611259</v>
      </c>
      <c r="AJ88" s="1">
        <v>0.0812393198307981</v>
      </c>
      <c r="AK88" s="1">
        <v>0.24583065620024</v>
      </c>
      <c r="AL88" s="1">
        <v>0.309170670566117</v>
      </c>
      <c r="AM88" s="1">
        <v>0.366588823114104</v>
      </c>
      <c r="AN88" s="1">
        <v>747</v>
      </c>
      <c r="AO88" s="1">
        <v>0.01708468</v>
      </c>
      <c r="AP88" s="1">
        <v>0.05490758</v>
      </c>
      <c r="AQ88" s="1">
        <v>0.01995186</v>
      </c>
      <c r="AR88" s="1">
        <v>0.01620284</v>
      </c>
      <c r="AS88" s="1">
        <v>0.05429302</v>
      </c>
      <c r="AT88" s="1">
        <v>0.01870255</v>
      </c>
      <c r="AU88" s="1">
        <v>0.06369236</v>
      </c>
      <c r="AV88" s="1">
        <v>0.0253991</v>
      </c>
      <c r="AW88" s="1">
        <v>0.02623023</v>
      </c>
      <c r="AX88" s="1">
        <v>0</v>
      </c>
      <c r="AY88" s="1">
        <v>0.0246014</v>
      </c>
      <c r="AZ88" s="1">
        <v>310</v>
      </c>
      <c r="BA88" s="1">
        <v>74</v>
      </c>
      <c r="BB88" s="1">
        <f t="shared" si="4"/>
        <v>5.73657229747919</v>
      </c>
      <c r="BC88" s="1">
        <v>0</v>
      </c>
      <c r="BD88" s="1">
        <v>804.2</v>
      </c>
      <c r="BE88" s="1">
        <v>1.01214516162872</v>
      </c>
      <c r="BF88" s="1">
        <v>-17.607328</v>
      </c>
      <c r="BG88" s="1">
        <v>0.8352614</v>
      </c>
      <c r="BH88" s="1">
        <v>2031.80252541517</v>
      </c>
      <c r="BI88" s="1">
        <f t="shared" si="5"/>
        <v>7.61667862160144</v>
      </c>
      <c r="BJ88" s="1">
        <v>3.72385</v>
      </c>
      <c r="BK88" s="1">
        <v>18404.43</v>
      </c>
      <c r="BL88" s="1">
        <v>30.6363423611259</v>
      </c>
      <c r="BM88" s="1">
        <v>321876</v>
      </c>
      <c r="BN88" s="1">
        <v>6070000</v>
      </c>
      <c r="BO88" s="1">
        <v>0.053</v>
      </c>
      <c r="BP88" s="1">
        <v>0.32632</v>
      </c>
      <c r="BQ88" s="1">
        <v>30.636342</v>
      </c>
      <c r="BR88" s="1">
        <v>12530.7</v>
      </c>
      <c r="BS88" s="3">
        <v>1200000</v>
      </c>
    </row>
    <row r="89" spans="1:71">
      <c r="A89" s="1" t="s">
        <v>78</v>
      </c>
      <c r="B89" s="1">
        <v>8</v>
      </c>
      <c r="C89" s="1">
        <v>110.164</v>
      </c>
      <c r="D89" s="1">
        <v>21.0965</v>
      </c>
      <c r="E89" s="1">
        <v>2014</v>
      </c>
      <c r="F89" s="1">
        <v>0.550981555148101</v>
      </c>
      <c r="G89" s="1">
        <v>7.28704156648972</v>
      </c>
      <c r="H89" s="1">
        <v>4.92710874711796</v>
      </c>
      <c r="I89" s="1">
        <v>4.91888543548668</v>
      </c>
      <c r="J89" s="1">
        <v>4.86999296429379</v>
      </c>
      <c r="K89" s="1">
        <v>5.04760989688761</v>
      </c>
      <c r="L89" s="1">
        <v>0.6867537</v>
      </c>
      <c r="M89" s="1">
        <v>0</v>
      </c>
      <c r="N89" s="1">
        <v>2.8903718</v>
      </c>
      <c r="O89" s="1">
        <v>10.355231738165</v>
      </c>
      <c r="P89" s="1">
        <v>136.98</v>
      </c>
      <c r="Q89" s="1">
        <v>135.85</v>
      </c>
      <c r="R89" s="1">
        <v>129.32</v>
      </c>
      <c r="S89" s="1">
        <v>154.65</v>
      </c>
      <c r="T89" s="1">
        <v>111.91</v>
      </c>
      <c r="U89" s="1">
        <v>0</v>
      </c>
      <c r="V89" s="1">
        <v>17</v>
      </c>
      <c r="W89" s="1">
        <v>31420</v>
      </c>
      <c r="X89" s="1">
        <v>0.171744917650576</v>
      </c>
      <c r="Y89" s="1">
        <v>10.46</v>
      </c>
      <c r="Z89" s="1">
        <v>0.395800000017707</v>
      </c>
      <c r="AA89" s="1">
        <v>6.29872964920675</v>
      </c>
      <c r="AB89" s="1">
        <f t="shared" si="3"/>
        <v>1.84034797008175</v>
      </c>
      <c r="AC89" s="1">
        <v>1.6710158970623</v>
      </c>
      <c r="AD89" s="1">
        <v>0.00933431013431013</v>
      </c>
      <c r="AE89" s="1">
        <v>0.95091086079822</v>
      </c>
      <c r="AF89" s="1">
        <v>0</v>
      </c>
      <c r="AG89" s="1">
        <v>0.386104</v>
      </c>
      <c r="AH89" s="2">
        <v>4.72659</v>
      </c>
      <c r="AI89" s="1">
        <v>30.6363423611259</v>
      </c>
      <c r="AJ89" s="1">
        <v>0.0812393198307981</v>
      </c>
      <c r="AK89" s="1">
        <v>0.24583065620024</v>
      </c>
      <c r="AL89" s="1">
        <v>0.309170670566117</v>
      </c>
      <c r="AM89" s="1">
        <v>0.366588823114104</v>
      </c>
      <c r="AN89" s="1">
        <v>747</v>
      </c>
      <c r="AO89" s="1">
        <v>0.01708468</v>
      </c>
      <c r="AP89" s="1">
        <v>0.05490758</v>
      </c>
      <c r="AQ89" s="1">
        <v>0.01995186</v>
      </c>
      <c r="AR89" s="1">
        <v>0.01620284</v>
      </c>
      <c r="AS89" s="1">
        <v>0.05429302</v>
      </c>
      <c r="AT89" s="1">
        <v>0.01870255</v>
      </c>
      <c r="AU89" s="1">
        <v>0.06369236</v>
      </c>
      <c r="AV89" s="1">
        <v>0.0253991</v>
      </c>
      <c r="AW89" s="1">
        <v>0.02623023</v>
      </c>
      <c r="AX89" s="1">
        <v>0</v>
      </c>
      <c r="AY89" s="1">
        <v>0.0246014</v>
      </c>
      <c r="AZ89" s="1">
        <v>346</v>
      </c>
      <c r="BA89" s="1">
        <v>76.448</v>
      </c>
      <c r="BB89" s="1">
        <f t="shared" si="4"/>
        <v>5.84643877505772</v>
      </c>
      <c r="BC89" s="1">
        <v>0.000267</v>
      </c>
      <c r="BD89" s="1">
        <v>699.17</v>
      </c>
      <c r="BE89" s="1">
        <v>1.04623591899872</v>
      </c>
      <c r="BF89" s="1">
        <v>-19.5837321</v>
      </c>
      <c r="BG89" s="1">
        <v>1.1799034</v>
      </c>
      <c r="BH89" s="1">
        <v>2201.8754656422</v>
      </c>
      <c r="BI89" s="1">
        <f t="shared" si="5"/>
        <v>7.69706476057079</v>
      </c>
      <c r="BJ89" s="1">
        <v>3.72385</v>
      </c>
      <c r="BK89" s="1">
        <v>20152.85</v>
      </c>
      <c r="BL89" s="1">
        <v>30.6363423611259</v>
      </c>
      <c r="BM89" s="1">
        <v>321876</v>
      </c>
      <c r="BN89" s="1">
        <v>6070000</v>
      </c>
      <c r="BO89" s="1">
        <v>0.053</v>
      </c>
      <c r="BP89" s="1">
        <v>0.32632</v>
      </c>
      <c r="BQ89" s="1">
        <v>30.636342</v>
      </c>
      <c r="BR89" s="1">
        <v>12530.7</v>
      </c>
      <c r="BS89" s="3">
        <v>1200000</v>
      </c>
    </row>
    <row r="90" spans="1:71">
      <c r="A90" s="1" t="s">
        <v>78</v>
      </c>
      <c r="B90" s="1">
        <v>8</v>
      </c>
      <c r="C90" s="1">
        <v>110.164</v>
      </c>
      <c r="D90" s="1">
        <v>21.0965</v>
      </c>
      <c r="E90" s="1">
        <v>2015</v>
      </c>
      <c r="F90" s="1">
        <v>0.503518850228243</v>
      </c>
      <c r="G90" s="1">
        <v>7.29219990739284</v>
      </c>
      <c r="H90" s="1">
        <v>5.12062507813774</v>
      </c>
      <c r="I90" s="1">
        <v>5.04793107883995</v>
      </c>
      <c r="J90" s="1">
        <v>4.99538628333351</v>
      </c>
      <c r="K90" s="1">
        <v>5.48893772615668</v>
      </c>
      <c r="L90" s="1">
        <v>0.6867537</v>
      </c>
      <c r="M90" s="1">
        <v>6.43133108193347</v>
      </c>
      <c r="N90" s="1">
        <v>2.1972246</v>
      </c>
      <c r="O90" s="1">
        <v>10.4022608377779</v>
      </c>
      <c r="P90" s="1">
        <v>166.44</v>
      </c>
      <c r="Q90" s="1">
        <v>154.7</v>
      </c>
      <c r="R90" s="1">
        <v>146.73</v>
      </c>
      <c r="S90" s="1">
        <v>241</v>
      </c>
      <c r="T90" s="1">
        <v>129.62</v>
      </c>
      <c r="U90" s="1">
        <v>620</v>
      </c>
      <c r="V90" s="1">
        <v>8</v>
      </c>
      <c r="W90" s="1">
        <v>32933</v>
      </c>
      <c r="X90" s="1">
        <v>0.134049303614253</v>
      </c>
      <c r="Y90" s="1">
        <v>4.39</v>
      </c>
      <c r="Z90" s="1">
        <v>0.381499999978992</v>
      </c>
      <c r="AA90" s="1">
        <v>6.26709365365664</v>
      </c>
      <c r="AB90" s="1">
        <f t="shared" si="3"/>
        <v>1.83531271506843</v>
      </c>
      <c r="AC90" s="1">
        <v>1.77790991461726</v>
      </c>
      <c r="AE90" s="1">
        <v>0.955787781350482</v>
      </c>
      <c r="AF90" s="1">
        <v>3</v>
      </c>
      <c r="AG90" s="1">
        <v>0.40908</v>
      </c>
      <c r="AH90" s="2">
        <v>4.87229</v>
      </c>
      <c r="AI90" s="1">
        <v>30.6363423611259</v>
      </c>
      <c r="AJ90" s="1">
        <v>0.0812393198307981</v>
      </c>
      <c r="AK90" s="1">
        <v>0.24583065620024</v>
      </c>
      <c r="AL90" s="1">
        <v>0.309170670566117</v>
      </c>
      <c r="AM90" s="1">
        <v>0.366588823114104</v>
      </c>
      <c r="AN90" s="1">
        <v>747</v>
      </c>
      <c r="AO90" s="1">
        <v>0.01708468</v>
      </c>
      <c r="AP90" s="1">
        <v>0.05490758</v>
      </c>
      <c r="AQ90" s="1">
        <v>0.01995186</v>
      </c>
      <c r="AR90" s="1">
        <v>0.01620284</v>
      </c>
      <c r="AS90" s="1">
        <v>0.05429302</v>
      </c>
      <c r="AT90" s="1">
        <v>0.01870255</v>
      </c>
      <c r="AU90" s="1">
        <v>0.06369236</v>
      </c>
      <c r="AV90" s="1">
        <v>0.0253991</v>
      </c>
      <c r="AW90" s="1">
        <v>0.02623023</v>
      </c>
      <c r="AX90" s="1">
        <v>0</v>
      </c>
      <c r="AY90" s="1">
        <v>0.0246014</v>
      </c>
      <c r="AZ90" s="1">
        <v>649</v>
      </c>
      <c r="BA90" s="1">
        <v>90</v>
      </c>
      <c r="BB90" s="1">
        <f t="shared" si="4"/>
        <v>6.47543271670409</v>
      </c>
      <c r="BC90" s="1">
        <v>0.000132</v>
      </c>
      <c r="BD90" s="1">
        <v>698.78</v>
      </c>
      <c r="BE90" s="1">
        <v>1.11683201789856</v>
      </c>
      <c r="BF90" s="1">
        <v>-5.1056557</v>
      </c>
      <c r="BG90" s="1">
        <v>1.2385149</v>
      </c>
      <c r="BH90" s="1">
        <v>2319.48590037993</v>
      </c>
      <c r="BI90" s="1">
        <f t="shared" si="5"/>
        <v>7.74910084544081</v>
      </c>
      <c r="BJ90" s="1">
        <v>3.72385</v>
      </c>
      <c r="BK90" s="1">
        <v>21169.98</v>
      </c>
      <c r="BL90" s="1">
        <v>30.6363423611259</v>
      </c>
      <c r="BM90" s="1">
        <v>321876</v>
      </c>
      <c r="BN90" s="1">
        <v>6070000</v>
      </c>
      <c r="BO90" s="1">
        <v>0.053</v>
      </c>
      <c r="BP90" s="1">
        <v>0.32632</v>
      </c>
      <c r="BQ90" s="1">
        <v>30.636342</v>
      </c>
      <c r="BR90" s="1">
        <v>12530.7</v>
      </c>
      <c r="BS90" s="3">
        <v>1200000</v>
      </c>
    </row>
    <row r="91" spans="1:71">
      <c r="A91" s="1" t="s">
        <v>78</v>
      </c>
      <c r="B91" s="1">
        <v>8</v>
      </c>
      <c r="C91" s="1">
        <v>110.164</v>
      </c>
      <c r="D91" s="1">
        <v>21.0965</v>
      </c>
      <c r="E91" s="1">
        <v>2016</v>
      </c>
      <c r="F91" s="1">
        <v>0.472670453853536</v>
      </c>
      <c r="G91" s="1">
        <v>7.34163332336939</v>
      </c>
      <c r="H91" s="1">
        <v>5.24603687662222</v>
      </c>
      <c r="I91" s="1">
        <v>5.10444601512243</v>
      </c>
      <c r="J91" s="1">
        <v>5.27372397764733</v>
      </c>
      <c r="K91" s="1">
        <v>5.5717269086541</v>
      </c>
      <c r="L91" s="1">
        <v>0.6867537</v>
      </c>
      <c r="M91" s="1">
        <v>1.38629436111989</v>
      </c>
      <c r="N91" s="1">
        <v>2.8332133</v>
      </c>
      <c r="O91" s="1">
        <v>10.4804660187216</v>
      </c>
      <c r="P91" s="1">
        <v>188.81252543006</v>
      </c>
      <c r="Q91" s="1">
        <v>163.752774747607</v>
      </c>
      <c r="R91" s="1">
        <v>194.14131285582</v>
      </c>
      <c r="S91" s="1">
        <v>261.887690508138</v>
      </c>
      <c r="T91" s="1">
        <v>123.51</v>
      </c>
      <c r="U91" s="1">
        <v>3</v>
      </c>
      <c r="V91" s="1">
        <v>16</v>
      </c>
      <c r="W91" s="1">
        <v>35612</v>
      </c>
      <c r="X91" s="1">
        <v>0.117799236946661</v>
      </c>
      <c r="Y91" s="1">
        <v>7.19</v>
      </c>
      <c r="Z91" s="1">
        <v>0.381499999980653</v>
      </c>
      <c r="AA91" s="1">
        <v>6.2665277516841</v>
      </c>
      <c r="AB91" s="1">
        <f t="shared" si="3"/>
        <v>1.83522241363764</v>
      </c>
      <c r="AC91" s="1">
        <v>1.72717796056365</v>
      </c>
      <c r="AD91" s="1">
        <v>0.0130397604790419</v>
      </c>
      <c r="AE91" s="1">
        <v>1.07369448511469</v>
      </c>
      <c r="AF91" s="1">
        <v>1</v>
      </c>
      <c r="AG91" s="1">
        <v>0.399456</v>
      </c>
      <c r="AH91" s="2">
        <v>4.82439</v>
      </c>
      <c r="AI91" s="1">
        <v>30.6363423611259</v>
      </c>
      <c r="AJ91" s="1">
        <v>0.0812393198307981</v>
      </c>
      <c r="AK91" s="1">
        <v>0.24583065620024</v>
      </c>
      <c r="AL91" s="1">
        <v>0.309170670566117</v>
      </c>
      <c r="AM91" s="1">
        <v>0.366588823114104</v>
      </c>
      <c r="AN91" s="1">
        <v>747</v>
      </c>
      <c r="AO91" s="1">
        <v>0.01708468</v>
      </c>
      <c r="AP91" s="1">
        <v>0.05490758</v>
      </c>
      <c r="AQ91" s="1">
        <v>0.01995186</v>
      </c>
      <c r="AR91" s="1">
        <v>0.01620284</v>
      </c>
      <c r="AS91" s="1">
        <v>0.05429302</v>
      </c>
      <c r="AT91" s="1">
        <v>0.01870255</v>
      </c>
      <c r="AU91" s="1">
        <v>0.06369236</v>
      </c>
      <c r="AV91" s="1">
        <v>0.0253991</v>
      </c>
      <c r="AW91" s="1">
        <v>0.02623023</v>
      </c>
      <c r="AX91" s="1">
        <v>0</v>
      </c>
      <c r="AY91" s="1">
        <v>0.0246014</v>
      </c>
      <c r="AZ91" s="1">
        <v>1068</v>
      </c>
      <c r="BA91" s="1">
        <v>108.882</v>
      </c>
      <c r="BB91" s="1">
        <f t="shared" si="4"/>
        <v>6.97354301952014</v>
      </c>
      <c r="BC91" s="1">
        <v>0.00105</v>
      </c>
      <c r="BD91" s="1">
        <v>698.49</v>
      </c>
      <c r="BE91" s="1">
        <v>1.09373867511749</v>
      </c>
      <c r="BF91" s="1">
        <v>1.679519</v>
      </c>
      <c r="BG91" s="1">
        <v>1.0071487</v>
      </c>
      <c r="BH91" s="1">
        <v>2487.24834670574</v>
      </c>
      <c r="BI91" s="1">
        <f t="shared" si="5"/>
        <v>7.81893229676154</v>
      </c>
      <c r="BJ91" s="1">
        <v>3.72385</v>
      </c>
      <c r="BK91" s="1">
        <v>22459.27</v>
      </c>
      <c r="BL91" s="1">
        <v>30.6363423611259</v>
      </c>
      <c r="BM91" s="1">
        <v>321876</v>
      </c>
      <c r="BN91" s="1">
        <v>6070000</v>
      </c>
      <c r="BO91" s="1">
        <v>0.053</v>
      </c>
      <c r="BP91" s="1">
        <v>0.32632</v>
      </c>
      <c r="BQ91" s="1">
        <v>30.636342</v>
      </c>
      <c r="BR91" s="1">
        <v>12530.7</v>
      </c>
      <c r="BS91" s="3">
        <v>1200000</v>
      </c>
    </row>
    <row r="92" spans="1:71">
      <c r="A92" s="1" t="s">
        <v>78</v>
      </c>
      <c r="B92" s="1">
        <v>8</v>
      </c>
      <c r="C92" s="1">
        <v>110.164</v>
      </c>
      <c r="D92" s="1">
        <v>21.0965</v>
      </c>
      <c r="E92" s="1">
        <v>2017</v>
      </c>
      <c r="F92" s="1">
        <v>0.421779644264158</v>
      </c>
      <c r="G92" s="1">
        <v>7.50928448664514</v>
      </c>
      <c r="H92" s="1">
        <v>5.37799653707302</v>
      </c>
      <c r="I92" s="1">
        <v>5.2315376034363</v>
      </c>
      <c r="J92" s="1">
        <v>5.5045626880055</v>
      </c>
      <c r="K92" s="1">
        <v>5.56426017653073</v>
      </c>
      <c r="L92" s="1">
        <v>0.6867537</v>
      </c>
      <c r="M92" s="1">
        <v>7.90031421944677</v>
      </c>
      <c r="N92" s="1">
        <v>2.7080503</v>
      </c>
      <c r="O92" s="1">
        <v>10.5586592952655</v>
      </c>
      <c r="P92" s="1">
        <v>215.587914561645</v>
      </c>
      <c r="Q92" s="1">
        <v>186.080237659029</v>
      </c>
      <c r="R92" s="1">
        <v>244.810936141425</v>
      </c>
      <c r="S92" s="1">
        <v>259.932088617666</v>
      </c>
      <c r="T92" s="1">
        <v>133.52</v>
      </c>
      <c r="U92" s="1">
        <v>2697.13</v>
      </c>
      <c r="V92" s="1">
        <v>14</v>
      </c>
      <c r="W92" s="1">
        <v>38508.4635</v>
      </c>
      <c r="X92" s="1">
        <v>0.123140343026189</v>
      </c>
      <c r="Y92" s="1">
        <v>12.01</v>
      </c>
      <c r="Z92" s="4">
        <v>0.37</v>
      </c>
      <c r="AA92" s="1">
        <v>6.26625569933382</v>
      </c>
      <c r="AB92" s="1">
        <f t="shared" si="3"/>
        <v>1.8351789991238</v>
      </c>
      <c r="AC92" s="1">
        <v>1.74932856989815</v>
      </c>
      <c r="AD92" s="1">
        <v>0.0158423122765197</v>
      </c>
      <c r="AE92" s="1">
        <v>0.898758156177647</v>
      </c>
      <c r="AF92" s="1">
        <v>1</v>
      </c>
      <c r="AG92" s="1">
        <v>0.4181</v>
      </c>
      <c r="AH92" s="2">
        <v>4.90171</v>
      </c>
      <c r="AI92" s="1">
        <v>30.6363423611259</v>
      </c>
      <c r="AJ92" s="1">
        <v>0.0812393198307981</v>
      </c>
      <c r="AK92" s="1">
        <v>0.24583065620024</v>
      </c>
      <c r="AL92" s="1">
        <v>0.309170670566117</v>
      </c>
      <c r="AM92" s="1">
        <v>0.366588823114104</v>
      </c>
      <c r="AN92" s="1">
        <v>747</v>
      </c>
      <c r="AO92" s="1">
        <v>0.01708468</v>
      </c>
      <c r="AP92" s="1">
        <v>0.05490758</v>
      </c>
      <c r="AQ92" s="1">
        <v>0.01995186</v>
      </c>
      <c r="AR92" s="1">
        <v>0.01620284</v>
      </c>
      <c r="AS92" s="1">
        <v>0.05429302</v>
      </c>
      <c r="AT92" s="1">
        <v>0.01870255</v>
      </c>
      <c r="AU92" s="1">
        <v>0.06369236</v>
      </c>
      <c r="AV92" s="1">
        <v>0.0253991</v>
      </c>
      <c r="AW92" s="1">
        <v>0.02623023</v>
      </c>
      <c r="AX92" s="1">
        <v>0</v>
      </c>
      <c r="AY92" s="1">
        <v>0.0246014</v>
      </c>
      <c r="AZ92" s="1">
        <v>1422</v>
      </c>
      <c r="BA92" s="1">
        <v>132.917</v>
      </c>
      <c r="BB92" s="1">
        <f t="shared" si="4"/>
        <v>7.25981961036319</v>
      </c>
      <c r="BC92" s="1">
        <v>0</v>
      </c>
      <c r="BD92" s="1">
        <v>698.3</v>
      </c>
      <c r="BE92" s="1">
        <v>1.186896443367</v>
      </c>
      <c r="BF92" s="1">
        <v>17.42053</v>
      </c>
      <c r="BG92" s="1">
        <v>1.191451</v>
      </c>
      <c r="BH92" s="1">
        <v>2744.97541505986</v>
      </c>
      <c r="BI92" s="1">
        <f t="shared" si="5"/>
        <v>7.91752739764118</v>
      </c>
      <c r="BJ92" s="1">
        <v>3.72385</v>
      </c>
      <c r="BK92" s="1">
        <v>23862.12</v>
      </c>
      <c r="BL92" s="1">
        <v>30.6363423611259</v>
      </c>
      <c r="BM92" s="1">
        <v>321876</v>
      </c>
      <c r="BN92" s="1">
        <v>6070000</v>
      </c>
      <c r="BO92" s="1">
        <v>0.053</v>
      </c>
      <c r="BP92" s="1">
        <v>0.32632</v>
      </c>
      <c r="BQ92" s="1">
        <v>30.636342</v>
      </c>
      <c r="BR92" s="1">
        <v>12530.7</v>
      </c>
      <c r="BS92" s="3">
        <v>1200000</v>
      </c>
    </row>
    <row r="93" spans="1:71">
      <c r="A93" s="1" t="s">
        <v>78</v>
      </c>
      <c r="B93" s="1">
        <v>8</v>
      </c>
      <c r="C93" s="1">
        <v>110.164</v>
      </c>
      <c r="D93" s="1">
        <v>21.0965</v>
      </c>
      <c r="E93" s="1">
        <v>2018</v>
      </c>
      <c r="F93" s="1">
        <v>0.391527080139224</v>
      </c>
      <c r="G93" s="1">
        <v>7.56278025532686</v>
      </c>
      <c r="H93" s="1">
        <v>5.42339143832944</v>
      </c>
      <c r="I93" s="1">
        <v>5.33968160522735</v>
      </c>
      <c r="J93" s="1">
        <v>5.4510241234201</v>
      </c>
      <c r="K93" s="1">
        <v>5.617561933964</v>
      </c>
      <c r="L93" s="1">
        <v>0.6867537</v>
      </c>
      <c r="M93" s="1">
        <v>3.58351893845611</v>
      </c>
      <c r="N93" s="1">
        <v>2.5649493</v>
      </c>
      <c r="O93" s="1">
        <v>10.6239580287449</v>
      </c>
      <c r="P93" s="1">
        <v>225.646478092853</v>
      </c>
      <c r="Q93" s="1">
        <v>207.446331527305</v>
      </c>
      <c r="R93" s="1">
        <v>231.996661148933</v>
      </c>
      <c r="S93" s="1">
        <v>274.217566042203</v>
      </c>
      <c r="T93" s="1">
        <v>147.12</v>
      </c>
      <c r="U93" s="1">
        <v>35</v>
      </c>
      <c r="V93" s="1">
        <v>12</v>
      </c>
      <c r="W93" s="1">
        <v>41107</v>
      </c>
      <c r="X93" s="1">
        <v>0.125364799437095</v>
      </c>
      <c r="Y93" s="1">
        <v>11.21</v>
      </c>
      <c r="Z93" s="1">
        <v>0.361200000013296</v>
      </c>
      <c r="AA93" s="1">
        <v>6.26615545086073</v>
      </c>
      <c r="AB93" s="1">
        <f t="shared" si="3"/>
        <v>1.8351630008499</v>
      </c>
      <c r="AC93" s="1">
        <v>1.83079593196739</v>
      </c>
      <c r="AD93" s="1">
        <v>0.0158568396226415</v>
      </c>
      <c r="AE93" s="1">
        <v>0.939810212381383</v>
      </c>
      <c r="AF93" s="1">
        <v>2</v>
      </c>
      <c r="AG93" s="1">
        <v>0.384332</v>
      </c>
      <c r="AH93" s="2">
        <v>4.99802</v>
      </c>
      <c r="AI93" s="1">
        <v>30.6363423611259</v>
      </c>
      <c r="AJ93" s="1">
        <v>0.0812393198307981</v>
      </c>
      <c r="AK93" s="1">
        <v>0.24583065620024</v>
      </c>
      <c r="AL93" s="1">
        <v>0.309170670566117</v>
      </c>
      <c r="AM93" s="1">
        <v>0.366588823114104</v>
      </c>
      <c r="AN93" s="1">
        <v>747</v>
      </c>
      <c r="AO93" s="1">
        <v>0.01708468</v>
      </c>
      <c r="AP93" s="1">
        <v>0.05490758</v>
      </c>
      <c r="AQ93" s="1">
        <v>0.01995186</v>
      </c>
      <c r="AR93" s="1">
        <v>0.01620284</v>
      </c>
      <c r="AS93" s="1">
        <v>0.05429302</v>
      </c>
      <c r="AT93" s="1">
        <v>0.01870255</v>
      </c>
      <c r="AU93" s="1">
        <v>0.06369236</v>
      </c>
      <c r="AV93" s="1">
        <v>0.0253991</v>
      </c>
      <c r="AW93" s="1">
        <v>0.02623023</v>
      </c>
      <c r="AX93" s="1">
        <v>0</v>
      </c>
      <c r="AY93" s="1">
        <v>0.0246014</v>
      </c>
      <c r="AZ93" s="1">
        <v>1025</v>
      </c>
      <c r="BA93" s="1">
        <v>134.466</v>
      </c>
      <c r="BB93" s="1">
        <f t="shared" si="4"/>
        <v>6.93244789157251</v>
      </c>
      <c r="BC93" s="1">
        <v>0.000208</v>
      </c>
      <c r="BD93" s="1">
        <v>698.23</v>
      </c>
      <c r="BE93" s="1">
        <v>1.28165578842163</v>
      </c>
      <c r="BF93" s="1">
        <v>-17.874871</v>
      </c>
      <c r="BG93" s="1">
        <v>1.3210932</v>
      </c>
      <c r="BH93" s="1">
        <v>2944.4842</v>
      </c>
      <c r="BI93" s="1">
        <f t="shared" si="5"/>
        <v>7.98768893643374</v>
      </c>
      <c r="BJ93" s="1">
        <v>3.72385</v>
      </c>
      <c r="BK93" s="1">
        <v>25191.22</v>
      </c>
      <c r="BL93" s="1">
        <v>30.6363423611259</v>
      </c>
      <c r="BM93" s="1">
        <v>321876</v>
      </c>
      <c r="BN93" s="1">
        <v>6070000</v>
      </c>
      <c r="BO93" s="1">
        <v>0.053</v>
      </c>
      <c r="BP93" s="1">
        <v>0.32632</v>
      </c>
      <c r="BQ93" s="1">
        <v>30.636342</v>
      </c>
      <c r="BR93" s="1">
        <v>12530.7</v>
      </c>
      <c r="BS93" s="3">
        <v>1200000</v>
      </c>
    </row>
    <row r="94" spans="1:71">
      <c r="A94" s="1" t="s">
        <v>78</v>
      </c>
      <c r="B94" s="1">
        <v>8</v>
      </c>
      <c r="C94" s="1">
        <v>110.164</v>
      </c>
      <c r="D94" s="1">
        <v>21.0965</v>
      </c>
      <c r="E94" s="1">
        <v>2019</v>
      </c>
      <c r="F94" s="1">
        <v>0.406944534449421</v>
      </c>
      <c r="G94" s="1">
        <v>7.58819267888188</v>
      </c>
      <c r="H94" s="1">
        <v>5.47649196156979</v>
      </c>
      <c r="I94" s="1">
        <v>5.41995471235432</v>
      </c>
      <c r="J94" s="1">
        <v>5.48661072160692</v>
      </c>
      <c r="K94" s="1">
        <v>5.62756873965727</v>
      </c>
      <c r="L94" s="1">
        <v>0.6867537</v>
      </c>
      <c r="M94" s="1">
        <v>7.00397413672268</v>
      </c>
      <c r="N94" s="1">
        <v>2.8332133</v>
      </c>
      <c r="O94" s="1">
        <v>10.6387496098837</v>
      </c>
      <c r="P94" s="1">
        <v>238.00678998326</v>
      </c>
      <c r="Q94" s="1">
        <v>224.868893237917</v>
      </c>
      <c r="R94" s="1">
        <v>240.43751962878</v>
      </c>
      <c r="S94" s="1">
        <v>276.985440424582</v>
      </c>
      <c r="T94" s="1">
        <v>169.21</v>
      </c>
      <c r="U94" s="1">
        <v>1100</v>
      </c>
      <c r="V94" s="1">
        <v>16</v>
      </c>
      <c r="W94" s="1">
        <v>41719.5716</v>
      </c>
      <c r="X94" s="1">
        <v>0.135038737800393</v>
      </c>
      <c r="Y94" s="1">
        <v>3.91</v>
      </c>
      <c r="Z94" s="1">
        <v>0.3442</v>
      </c>
      <c r="AA94" s="1">
        <v>6.26605519233689</v>
      </c>
      <c r="AB94" s="1">
        <f t="shared" si="3"/>
        <v>1.83514700071605</v>
      </c>
      <c r="AC94" s="1">
        <v>2.00188718726871</v>
      </c>
      <c r="AD94" s="1">
        <v>0.015702224824356</v>
      </c>
      <c r="AE94" s="1">
        <v>0.626944650227537</v>
      </c>
      <c r="AF94" s="1">
        <v>5</v>
      </c>
      <c r="AG94" s="1">
        <v>0.441012</v>
      </c>
      <c r="AH94" s="2">
        <v>5.13703</v>
      </c>
      <c r="AI94" s="1">
        <v>30.6363423611259</v>
      </c>
      <c r="AJ94" s="1">
        <v>0.0812393198307981</v>
      </c>
      <c r="AK94" s="1">
        <v>0.24583065620024</v>
      </c>
      <c r="AL94" s="1">
        <v>0.309170670566117</v>
      </c>
      <c r="AM94" s="1">
        <v>0.366588823114104</v>
      </c>
      <c r="AN94" s="1">
        <v>747</v>
      </c>
      <c r="AO94" s="1">
        <v>0.01708468</v>
      </c>
      <c r="AP94" s="1">
        <v>0.05490758</v>
      </c>
      <c r="AQ94" s="1">
        <v>0.01995186</v>
      </c>
      <c r="AR94" s="1">
        <v>0.01620284</v>
      </c>
      <c r="AS94" s="1">
        <v>0.05429302</v>
      </c>
      <c r="AT94" s="1">
        <v>0.01870255</v>
      </c>
      <c r="AU94" s="1">
        <v>0.06369236</v>
      </c>
      <c r="AV94" s="1">
        <v>0.0253991</v>
      </c>
      <c r="AW94" s="1">
        <v>0.02623023</v>
      </c>
      <c r="AX94" s="1">
        <v>0</v>
      </c>
      <c r="AY94" s="1">
        <v>0.0246014</v>
      </c>
      <c r="AZ94" s="1">
        <v>1379</v>
      </c>
      <c r="BA94" s="1">
        <v>132.947</v>
      </c>
      <c r="BB94" s="1">
        <f t="shared" si="4"/>
        <v>7.2291138777933</v>
      </c>
      <c r="BC94" s="1">
        <v>0.000481</v>
      </c>
      <c r="BD94" s="1">
        <v>698.16</v>
      </c>
      <c r="BE94" s="1">
        <v>1.36380851268768</v>
      </c>
      <c r="BF94" s="1">
        <v>-7.617055</v>
      </c>
      <c r="BG94" s="1">
        <v>0.7768056</v>
      </c>
      <c r="BH94" s="1">
        <v>3055.89817040919</v>
      </c>
      <c r="BI94" s="1">
        <f t="shared" si="5"/>
        <v>8.02482882853007</v>
      </c>
      <c r="BJ94" s="1">
        <v>3.72385</v>
      </c>
      <c r="BK94" s="1">
        <v>27035.9</v>
      </c>
      <c r="BL94" s="1">
        <v>30.6363423611259</v>
      </c>
      <c r="BM94" s="1">
        <v>321876</v>
      </c>
      <c r="BN94" s="1">
        <v>6070000</v>
      </c>
      <c r="BO94" s="1">
        <v>0.053</v>
      </c>
      <c r="BP94" s="1">
        <v>0.32632</v>
      </c>
      <c r="BQ94" s="1">
        <v>30.636342</v>
      </c>
      <c r="BR94" s="1">
        <v>12530.7</v>
      </c>
      <c r="BS94" s="3">
        <v>1200000</v>
      </c>
    </row>
    <row r="95" spans="1:71">
      <c r="A95" s="1" t="s">
        <v>78</v>
      </c>
      <c r="B95" s="1">
        <v>8</v>
      </c>
      <c r="C95" s="1">
        <v>110.164</v>
      </c>
      <c r="D95" s="1">
        <v>21.0965</v>
      </c>
      <c r="E95" s="1">
        <v>2020</v>
      </c>
      <c r="F95" s="1">
        <v>0.432315055301781</v>
      </c>
      <c r="G95" s="1">
        <v>7.80263867786035</v>
      </c>
      <c r="H95" s="1">
        <v>5.52963764155616</v>
      </c>
      <c r="I95" s="1">
        <v>5.48416331370889</v>
      </c>
      <c r="J95" s="1">
        <v>5.53915889585861</v>
      </c>
      <c r="K95" s="1">
        <v>5.65138542468784</v>
      </c>
      <c r="L95" s="1">
        <v>0.6867537</v>
      </c>
      <c r="M95" s="1">
        <v>0</v>
      </c>
      <c r="N95" s="1">
        <v>2.8903718</v>
      </c>
      <c r="O95" s="1">
        <v>10.7012077189837</v>
      </c>
      <c r="P95" s="1">
        <v>251.052561107664</v>
      </c>
      <c r="Q95" s="1">
        <v>239.847346022149</v>
      </c>
      <c r="R95" s="1">
        <v>253.463878795616</v>
      </c>
      <c r="S95" s="1">
        <v>283.685603191203</v>
      </c>
      <c r="T95" s="1">
        <v>145.37</v>
      </c>
      <c r="U95" s="1">
        <v>0</v>
      </c>
      <c r="V95" s="1">
        <v>17</v>
      </c>
      <c r="W95" s="1">
        <v>44408.4569</v>
      </c>
      <c r="X95" s="1">
        <v>0.143424678434215</v>
      </c>
      <c r="Y95" s="1">
        <v>10.57</v>
      </c>
      <c r="Z95" s="1">
        <v>0.3394</v>
      </c>
      <c r="AA95" s="1">
        <v>6.2659262737488</v>
      </c>
      <c r="AB95" s="1">
        <f t="shared" si="3"/>
        <v>1.83512642638175</v>
      </c>
      <c r="AC95" s="1">
        <v>2.20880988806927</v>
      </c>
      <c r="AD95" s="1">
        <v>0.0133144186046512</v>
      </c>
      <c r="AE95" s="1">
        <v>0.672862453531598</v>
      </c>
      <c r="AF95" s="1">
        <v>0</v>
      </c>
      <c r="AG95" s="1">
        <v>0.43376</v>
      </c>
      <c r="AH95" s="2">
        <v>4.98614</v>
      </c>
      <c r="AI95" s="1">
        <v>30.6363423611259</v>
      </c>
      <c r="AJ95" s="1">
        <v>0.0812393198307981</v>
      </c>
      <c r="AK95" s="1">
        <v>0.24583065620024</v>
      </c>
      <c r="AL95" s="1">
        <v>0.309170670566117</v>
      </c>
      <c r="AM95" s="1">
        <v>0.366588823114104</v>
      </c>
      <c r="AN95" s="1">
        <v>747</v>
      </c>
      <c r="AO95" s="1">
        <v>0.01708468</v>
      </c>
      <c r="AP95" s="1">
        <v>0.05490758</v>
      </c>
      <c r="AQ95" s="1">
        <v>0.01995186</v>
      </c>
      <c r="AR95" s="1">
        <v>0.01620284</v>
      </c>
      <c r="AS95" s="1">
        <v>0.05429302</v>
      </c>
      <c r="AT95" s="1">
        <v>0.01870255</v>
      </c>
      <c r="AU95" s="1">
        <v>0.06369236</v>
      </c>
      <c r="AV95" s="1">
        <v>0.0253991</v>
      </c>
      <c r="AW95" s="1">
        <v>0.02623023</v>
      </c>
      <c r="AX95" s="1">
        <v>0</v>
      </c>
      <c r="AY95" s="1">
        <v>0.0246014</v>
      </c>
      <c r="AZ95" s="1">
        <v>1573</v>
      </c>
      <c r="BA95" s="1">
        <v>155.753</v>
      </c>
      <c r="BB95" s="1">
        <f t="shared" si="4"/>
        <v>7.36073990305828</v>
      </c>
      <c r="BC95" s="1">
        <v>0.000837</v>
      </c>
      <c r="BD95" s="1">
        <v>698.07</v>
      </c>
      <c r="BE95" s="1">
        <v>1.35610771179199</v>
      </c>
      <c r="BF95" s="1">
        <v>0.676805</v>
      </c>
      <c r="BG95" s="1">
        <v>0.6225323</v>
      </c>
      <c r="BH95" s="1">
        <v>3100.221</v>
      </c>
      <c r="BI95" s="1">
        <f t="shared" si="5"/>
        <v>8.03922867825479</v>
      </c>
      <c r="BJ95" s="1">
        <v>3.72385</v>
      </c>
      <c r="BK95" s="1">
        <v>27867.69</v>
      </c>
      <c r="BL95" s="1">
        <v>30.6363423611259</v>
      </c>
      <c r="BM95" s="1">
        <v>321876</v>
      </c>
      <c r="BN95" s="1">
        <v>6070000</v>
      </c>
      <c r="BO95" s="1">
        <v>0.053</v>
      </c>
      <c r="BP95" s="1">
        <v>0.32632</v>
      </c>
      <c r="BQ95" s="1">
        <v>30.636342</v>
      </c>
      <c r="BR95" s="1">
        <v>12530.7</v>
      </c>
      <c r="BS95" s="3">
        <v>1200000</v>
      </c>
    </row>
    <row r="96" spans="1:71">
      <c r="A96" s="1" t="s">
        <v>78</v>
      </c>
      <c r="B96" s="1">
        <v>8</v>
      </c>
      <c r="C96" s="1">
        <v>110.164</v>
      </c>
      <c r="D96" s="1">
        <v>21.0965</v>
      </c>
      <c r="E96" s="1">
        <v>2021</v>
      </c>
      <c r="F96" s="1">
        <v>0.441965503378052</v>
      </c>
      <c r="G96" s="1">
        <v>8.10669067052198</v>
      </c>
      <c r="H96" s="1">
        <v>5.65605836909431</v>
      </c>
      <c r="I96" s="1">
        <v>5.65141069716036</v>
      </c>
      <c r="J96" s="1">
        <v>5.63268283763925</v>
      </c>
      <c r="K96" s="1">
        <v>5.71183013056425</v>
      </c>
      <c r="L96" s="1">
        <v>0.6867537</v>
      </c>
      <c r="M96" s="1">
        <v>7.81687234150814</v>
      </c>
      <c r="N96" s="1">
        <v>3.5553482</v>
      </c>
      <c r="O96" s="1">
        <v>10.4098563765077</v>
      </c>
      <c r="P96" s="1">
        <v>285.019036318771</v>
      </c>
      <c r="Q96" s="1">
        <v>283.692797997283</v>
      </c>
      <c r="R96" s="1">
        <v>278.410726576332</v>
      </c>
      <c r="S96" s="1">
        <v>301.424037616875</v>
      </c>
      <c r="T96" s="1">
        <v>163</v>
      </c>
      <c r="U96" s="1">
        <v>2481.13</v>
      </c>
      <c r="V96" s="1">
        <v>34</v>
      </c>
      <c r="W96" s="1">
        <v>33184.1039</v>
      </c>
      <c r="X96" s="1">
        <v>0.152950962117745</v>
      </c>
      <c r="Y96" s="1">
        <v>8.54</v>
      </c>
      <c r="Z96" s="1">
        <v>0.3857</v>
      </c>
      <c r="AA96" s="1">
        <v>6.27309179585788</v>
      </c>
      <c r="AB96" s="1">
        <f t="shared" si="3"/>
        <v>1.83626934249357</v>
      </c>
      <c r="AC96" s="1">
        <v>2.05621787913835</v>
      </c>
      <c r="AD96" s="1">
        <v>0.0187982678983834</v>
      </c>
      <c r="AE96" s="1">
        <v>0.87568058076225</v>
      </c>
      <c r="AF96" s="1">
        <v>29</v>
      </c>
      <c r="AG96" s="1">
        <v>0.45018</v>
      </c>
      <c r="AH96" s="2">
        <v>5.09987</v>
      </c>
      <c r="AI96" s="1">
        <v>30.6363423611259</v>
      </c>
      <c r="AJ96" s="1">
        <v>0.0812393198307981</v>
      </c>
      <c r="AK96" s="1">
        <v>0.24583065620024</v>
      </c>
      <c r="AL96" s="1">
        <v>0.309170670566117</v>
      </c>
      <c r="AM96" s="1">
        <v>0.366588823114104</v>
      </c>
      <c r="AN96" s="1">
        <v>747</v>
      </c>
      <c r="AO96" s="1">
        <v>0.01708468</v>
      </c>
      <c r="AP96" s="1">
        <v>0.05490758</v>
      </c>
      <c r="AQ96" s="1">
        <v>0.01995186</v>
      </c>
      <c r="AR96" s="1">
        <v>0.01620284</v>
      </c>
      <c r="AS96" s="1">
        <v>0.05429302</v>
      </c>
      <c r="AT96" s="1">
        <v>0.01870255</v>
      </c>
      <c r="AU96" s="1">
        <v>0.06369236</v>
      </c>
      <c r="AV96" s="1">
        <v>0.0253991</v>
      </c>
      <c r="AW96" s="1">
        <v>0.02623023</v>
      </c>
      <c r="AX96" s="1">
        <v>0</v>
      </c>
      <c r="AY96" s="1">
        <v>0.0246014</v>
      </c>
      <c r="AZ96" s="1">
        <v>1595</v>
      </c>
      <c r="BA96" s="1">
        <v>166.918</v>
      </c>
      <c r="BB96" s="1">
        <f t="shared" si="4"/>
        <v>7.37462901521894</v>
      </c>
      <c r="BC96" s="1">
        <v>9.52e-5</v>
      </c>
      <c r="BD96" s="1">
        <v>703.09</v>
      </c>
      <c r="BE96" s="1">
        <v>1.12571394443512</v>
      </c>
      <c r="BF96" s="1">
        <v>186.6259018</v>
      </c>
      <c r="BG96" s="1">
        <v>0.4980067</v>
      </c>
      <c r="BH96" s="1">
        <v>3559.9333</v>
      </c>
      <c r="BI96" s="1">
        <f t="shared" si="5"/>
        <v>8.1774970877155</v>
      </c>
      <c r="BJ96" s="1">
        <v>3.72385</v>
      </c>
      <c r="BK96" s="1">
        <v>32272.68</v>
      </c>
      <c r="BL96" s="1">
        <v>30.6363423611259</v>
      </c>
      <c r="BM96" s="1">
        <v>321876</v>
      </c>
      <c r="BN96" s="1">
        <v>6070000</v>
      </c>
      <c r="BO96" s="1">
        <v>0.053</v>
      </c>
      <c r="BP96" s="1">
        <v>0.32632</v>
      </c>
      <c r="BQ96" s="1">
        <v>30.636342</v>
      </c>
      <c r="BR96" s="1">
        <v>12530.7</v>
      </c>
      <c r="BS96" s="3">
        <v>1200000</v>
      </c>
    </row>
    <row r="97" spans="1:71">
      <c r="A97" s="1" t="s">
        <v>78</v>
      </c>
      <c r="B97" s="1">
        <v>8</v>
      </c>
      <c r="C97" s="1">
        <v>110.164</v>
      </c>
      <c r="D97" s="1">
        <v>21.0965</v>
      </c>
      <c r="E97" s="1">
        <v>2022</v>
      </c>
      <c r="F97" s="1">
        <v>0.437490406688845</v>
      </c>
      <c r="G97" s="1">
        <v>7.91602328086392</v>
      </c>
      <c r="H97" s="1">
        <v>5.67640357450734</v>
      </c>
      <c r="I97" s="1">
        <v>5.72797175734529</v>
      </c>
      <c r="J97" s="1">
        <v>5.54435732819799</v>
      </c>
      <c r="K97" s="1">
        <v>5.72528751118144</v>
      </c>
      <c r="L97" s="1">
        <v>0.6867537</v>
      </c>
      <c r="M97" s="1">
        <v>7.54083393307596</v>
      </c>
      <c r="N97" s="1">
        <v>4.1271343</v>
      </c>
      <c r="O97" s="1">
        <v>10.892247772124</v>
      </c>
      <c r="P97" s="1">
        <v>290.897751412111</v>
      </c>
      <c r="Q97" s="1">
        <v>306.345265022805</v>
      </c>
      <c r="R97" s="1">
        <v>254.790136344277</v>
      </c>
      <c r="S97" s="1">
        <v>305.521380885809</v>
      </c>
      <c r="T97" s="1">
        <v>149</v>
      </c>
      <c r="U97" s="1">
        <v>1882.4</v>
      </c>
      <c r="V97" s="1">
        <v>61</v>
      </c>
      <c r="W97" s="1">
        <v>53757</v>
      </c>
      <c r="X97" s="1">
        <v>0.168293712392833</v>
      </c>
      <c r="Y97" s="1">
        <v>14.47</v>
      </c>
      <c r="Z97" s="1">
        <v>0.3927</v>
      </c>
      <c r="AA97" s="1">
        <v>6.27373162298421</v>
      </c>
      <c r="AB97" s="1">
        <f t="shared" si="3"/>
        <v>1.83637133279112</v>
      </c>
      <c r="AC97" s="1">
        <v>2.15890323030731</v>
      </c>
      <c r="AD97" s="1">
        <v>0.0209449942462601</v>
      </c>
      <c r="AE97" s="1">
        <v>1.14638142044907</v>
      </c>
      <c r="AF97" s="1">
        <v>16</v>
      </c>
      <c r="AG97" s="1">
        <v>0.428148</v>
      </c>
      <c r="AH97" s="2">
        <v>5.01064</v>
      </c>
      <c r="AI97" s="1">
        <v>30.6363423611259</v>
      </c>
      <c r="AJ97" s="1">
        <v>0.0812393198307981</v>
      </c>
      <c r="AK97" s="1">
        <v>0.24583065620024</v>
      </c>
      <c r="AL97" s="1">
        <v>0.309170670566117</v>
      </c>
      <c r="AM97" s="1">
        <v>0.366588823114104</v>
      </c>
      <c r="AN97" s="1">
        <v>747</v>
      </c>
      <c r="AO97" s="1">
        <v>0.01708468</v>
      </c>
      <c r="AP97" s="1">
        <v>0.05490758</v>
      </c>
      <c r="AQ97" s="1">
        <v>0.01995186</v>
      </c>
      <c r="AR97" s="1">
        <v>0.01620284</v>
      </c>
      <c r="AS97" s="1">
        <v>0.05429302</v>
      </c>
      <c r="AT97" s="1">
        <v>0.01870255</v>
      </c>
      <c r="AU97" s="1">
        <v>0.06369236</v>
      </c>
      <c r="AV97" s="1">
        <v>0.0253991</v>
      </c>
      <c r="AW97" s="1">
        <v>0.02623023</v>
      </c>
      <c r="AX97" s="1">
        <v>0</v>
      </c>
      <c r="AY97" s="1">
        <v>0.0246014</v>
      </c>
      <c r="AZ97" s="1">
        <v>1518</v>
      </c>
      <c r="BA97" s="1">
        <v>182.012</v>
      </c>
      <c r="BB97" s="1">
        <f t="shared" si="4"/>
        <v>7.32514895795557</v>
      </c>
      <c r="BC97" s="1">
        <v>0.000112</v>
      </c>
      <c r="BD97" s="1">
        <v>703.54</v>
      </c>
      <c r="BE97" s="1">
        <v>1.07835941197857</v>
      </c>
      <c r="BF97" s="1">
        <v>6152.0290929</v>
      </c>
      <c r="BG97" s="1">
        <v>0.3413498</v>
      </c>
      <c r="BH97" s="1">
        <v>3712.56</v>
      </c>
      <c r="BI97" s="1">
        <f t="shared" si="5"/>
        <v>8.21947694459652</v>
      </c>
      <c r="BJ97" s="1">
        <v>3.72385</v>
      </c>
      <c r="BK97" s="1">
        <v>33674.55</v>
      </c>
      <c r="BL97" s="1">
        <v>30.6363423611259</v>
      </c>
      <c r="BM97" s="1">
        <v>321876</v>
      </c>
      <c r="BN97" s="1">
        <v>6070000</v>
      </c>
      <c r="BO97" s="1">
        <v>0.053</v>
      </c>
      <c r="BP97" s="1">
        <v>0.32632</v>
      </c>
      <c r="BQ97" s="1">
        <v>30.636342</v>
      </c>
      <c r="BR97" s="1">
        <v>12530.7</v>
      </c>
      <c r="BS97" s="3">
        <v>1200000</v>
      </c>
    </row>
    <row r="98" spans="1:71">
      <c r="A98" s="1" t="s">
        <v>79</v>
      </c>
      <c r="B98" s="1">
        <v>9</v>
      </c>
      <c r="C98" s="1">
        <v>110.951</v>
      </c>
      <c r="D98" s="1">
        <v>22.0153</v>
      </c>
      <c r="E98" s="1">
        <v>2011</v>
      </c>
      <c r="F98" s="1">
        <v>0.744682234897077</v>
      </c>
      <c r="G98" s="1">
        <v>6.91430594544026</v>
      </c>
      <c r="H98" s="1">
        <v>3.75255823077711</v>
      </c>
      <c r="I98" s="1">
        <v>3.15742586255197</v>
      </c>
      <c r="J98" s="1">
        <v>4.11202074723504</v>
      </c>
      <c r="K98" s="1">
        <v>4.28027072571949</v>
      </c>
      <c r="L98" s="1">
        <v>0.1761807</v>
      </c>
      <c r="M98" s="1">
        <v>0</v>
      </c>
      <c r="N98" s="1">
        <v>0</v>
      </c>
      <c r="O98" s="1">
        <v>10.3026662760015</v>
      </c>
      <c r="P98" s="1">
        <v>41.63</v>
      </c>
      <c r="Q98" s="1">
        <v>22.51</v>
      </c>
      <c r="R98" s="1">
        <v>60.07</v>
      </c>
      <c r="S98" s="1">
        <v>71.26</v>
      </c>
      <c r="T98" s="1">
        <v>48.49</v>
      </c>
      <c r="U98" s="1">
        <v>0</v>
      </c>
      <c r="V98" s="1">
        <v>0</v>
      </c>
      <c r="W98" s="1">
        <v>29811</v>
      </c>
      <c r="X98" s="1">
        <v>0.0341570388807051</v>
      </c>
      <c r="Y98" s="1">
        <v>5.15</v>
      </c>
      <c r="Z98" s="1">
        <v>0.3992</v>
      </c>
      <c r="AA98" s="1">
        <v>6.24106594404565</v>
      </c>
      <c r="AB98" s="1">
        <f t="shared" si="3"/>
        <v>1.83115099215881</v>
      </c>
      <c r="AC98" s="1">
        <v>0.933096871449419</v>
      </c>
      <c r="AD98" s="1">
        <v>0.00358019177722317</v>
      </c>
      <c r="AE98" s="4">
        <v>0.378865061685518</v>
      </c>
      <c r="AF98" s="1">
        <v>0</v>
      </c>
      <c r="AG98" s="1">
        <v>0.371752</v>
      </c>
      <c r="AH98" s="2">
        <v>3.90177</v>
      </c>
      <c r="AI98" s="1">
        <v>28.0681592149756</v>
      </c>
      <c r="AJ98" s="1">
        <v>0.143686762856972</v>
      </c>
      <c r="AK98" s="1">
        <v>0.0954383453376877</v>
      </c>
      <c r="AL98" s="1">
        <v>0.105986781093136</v>
      </c>
      <c r="AM98" s="1">
        <v>0.11687737852592</v>
      </c>
      <c r="AN98" s="1">
        <v>508</v>
      </c>
      <c r="AO98" s="1">
        <v>0.02404308</v>
      </c>
      <c r="AP98" s="1">
        <v>0.05246689</v>
      </c>
      <c r="AQ98" s="1">
        <v>0.02682995</v>
      </c>
      <c r="AR98" s="1">
        <v>0.02150865</v>
      </c>
      <c r="AS98" s="1">
        <v>0.05216167</v>
      </c>
      <c r="AT98" s="1">
        <v>0.0238523</v>
      </c>
      <c r="AU98" s="1">
        <v>0.05605099</v>
      </c>
      <c r="AV98" s="1">
        <v>0.03421986</v>
      </c>
      <c r="AW98" s="1">
        <v>0.03107636</v>
      </c>
      <c r="AX98" s="1">
        <v>0.15920365</v>
      </c>
      <c r="AY98" s="1">
        <v>0.03575425</v>
      </c>
      <c r="AZ98" s="1">
        <v>125</v>
      </c>
      <c r="BA98" s="1">
        <v>27.256</v>
      </c>
      <c r="BB98" s="1">
        <f t="shared" si="4"/>
        <v>4.8283137373023</v>
      </c>
      <c r="BC98" s="1">
        <v>0</v>
      </c>
      <c r="BD98" s="1">
        <v>761.3</v>
      </c>
      <c r="BE98" s="1">
        <v>1.04684746265411</v>
      </c>
      <c r="BF98" s="1">
        <v>-1311.71812</v>
      </c>
      <c r="BG98" s="1">
        <v>0.557728</v>
      </c>
      <c r="BH98" s="1">
        <v>1736.460156</v>
      </c>
      <c r="BI98" s="1">
        <f t="shared" si="5"/>
        <v>7.45960392691657</v>
      </c>
      <c r="BJ98" s="1">
        <v>4.536025</v>
      </c>
      <c r="BK98" s="1">
        <v>6724.019</v>
      </c>
      <c r="BL98" s="1">
        <v>28.0681592149756</v>
      </c>
      <c r="BM98" s="1">
        <v>298765</v>
      </c>
      <c r="BN98" s="1">
        <v>5900000</v>
      </c>
      <c r="BO98" s="1">
        <v>0.0506</v>
      </c>
      <c r="BP98" s="1">
        <v>0.147037</v>
      </c>
      <c r="BQ98" s="1">
        <v>28.068159</v>
      </c>
      <c r="BR98" s="1">
        <v>5646.23</v>
      </c>
      <c r="BS98" s="3">
        <v>1100000</v>
      </c>
    </row>
    <row r="99" spans="1:71">
      <c r="A99" s="1" t="s">
        <v>79</v>
      </c>
      <c r="B99" s="1">
        <v>9</v>
      </c>
      <c r="C99" s="1">
        <v>110.951</v>
      </c>
      <c r="D99" s="1">
        <v>22.0153</v>
      </c>
      <c r="E99" s="1">
        <v>2012</v>
      </c>
      <c r="F99" s="1">
        <v>1.01563812056991</v>
      </c>
      <c r="G99" s="1">
        <v>6.9863481555429</v>
      </c>
      <c r="H99" s="1">
        <v>4.39876083366504</v>
      </c>
      <c r="I99" s="1">
        <v>4.15997623565093</v>
      </c>
      <c r="J99" s="1">
        <v>4.52742483736323</v>
      </c>
      <c r="K99" s="1">
        <v>4.77161639362375</v>
      </c>
      <c r="L99" s="1">
        <v>0.1761807</v>
      </c>
      <c r="M99" s="1">
        <v>0</v>
      </c>
      <c r="N99" s="1">
        <v>2.1972246</v>
      </c>
      <c r="O99" s="1">
        <v>10.3944879487505</v>
      </c>
      <c r="P99" s="1">
        <v>80.35</v>
      </c>
      <c r="Q99" s="1">
        <v>63.07</v>
      </c>
      <c r="R99" s="1">
        <v>91.52</v>
      </c>
      <c r="S99" s="1">
        <v>117.11</v>
      </c>
      <c r="T99" s="1">
        <v>58.04</v>
      </c>
      <c r="U99" s="1">
        <v>0</v>
      </c>
      <c r="V99" s="1">
        <v>8</v>
      </c>
      <c r="W99" s="1">
        <v>32678</v>
      </c>
      <c r="X99" s="1">
        <v>0.0339118881601051</v>
      </c>
      <c r="Y99" s="1">
        <v>8.15</v>
      </c>
      <c r="Z99" s="1">
        <v>0.4078</v>
      </c>
      <c r="AA99" s="1">
        <v>6.25829617872842</v>
      </c>
      <c r="AB99" s="1">
        <f t="shared" si="3"/>
        <v>1.83390797214344</v>
      </c>
      <c r="AC99" s="1">
        <v>0.964643445839317</v>
      </c>
      <c r="AD99" s="1">
        <v>0.004029910535452</v>
      </c>
      <c r="AE99" s="1">
        <v>0.405194364284502</v>
      </c>
      <c r="AF99" s="1">
        <v>0</v>
      </c>
      <c r="AG99" s="1">
        <v>0.367424</v>
      </c>
      <c r="AH99" s="2">
        <v>4.07822</v>
      </c>
      <c r="AI99" s="1">
        <v>28.0681592149756</v>
      </c>
      <c r="AJ99" s="1">
        <v>0.143686762856972</v>
      </c>
      <c r="AK99" s="1">
        <v>0.0954383453376877</v>
      </c>
      <c r="AL99" s="1">
        <v>0.105986781093136</v>
      </c>
      <c r="AM99" s="1">
        <v>0.11687737852592</v>
      </c>
      <c r="AN99" s="1">
        <v>508</v>
      </c>
      <c r="AO99" s="1">
        <v>0.02404308</v>
      </c>
      <c r="AP99" s="1">
        <v>0.05246689</v>
      </c>
      <c r="AQ99" s="1">
        <v>0.02682995</v>
      </c>
      <c r="AR99" s="1">
        <v>0.02150865</v>
      </c>
      <c r="AS99" s="1">
        <v>0.05216167</v>
      </c>
      <c r="AT99" s="1">
        <v>0.0238523</v>
      </c>
      <c r="AU99" s="1">
        <v>0.05605099</v>
      </c>
      <c r="AV99" s="1">
        <v>0.03421986</v>
      </c>
      <c r="AW99" s="1">
        <v>0.03107636</v>
      </c>
      <c r="AX99" s="1">
        <v>0.15920365</v>
      </c>
      <c r="AY99" s="1">
        <v>0.03575425</v>
      </c>
      <c r="AZ99" s="1">
        <v>150</v>
      </c>
      <c r="BA99" s="1">
        <v>30.18</v>
      </c>
      <c r="BB99" s="1">
        <f t="shared" si="4"/>
        <v>5.01063529409626</v>
      </c>
      <c r="BC99" s="1">
        <v>0</v>
      </c>
      <c r="BD99" s="1">
        <v>748.9</v>
      </c>
      <c r="BE99" s="1">
        <v>1.01643931865692</v>
      </c>
      <c r="BF99" s="1">
        <v>-332.191562</v>
      </c>
      <c r="BG99" s="1">
        <v>-0.0632519999999999</v>
      </c>
      <c r="BH99" s="1">
        <v>1931.69252</v>
      </c>
      <c r="BI99" s="1">
        <f t="shared" si="5"/>
        <v>7.56615185096786</v>
      </c>
      <c r="BJ99" s="1">
        <v>4.536025</v>
      </c>
      <c r="BK99" s="1">
        <v>7544.488</v>
      </c>
      <c r="BL99" s="1">
        <v>28.0681592149756</v>
      </c>
      <c r="BM99" s="1">
        <v>298765</v>
      </c>
      <c r="BN99" s="1">
        <v>5900000</v>
      </c>
      <c r="BO99" s="1">
        <v>0.0506</v>
      </c>
      <c r="BP99" s="1">
        <v>0.147037</v>
      </c>
      <c r="BQ99" s="1">
        <v>28.068159</v>
      </c>
      <c r="BR99" s="1">
        <v>5646.23</v>
      </c>
      <c r="BS99" s="3">
        <v>1100000</v>
      </c>
    </row>
    <row r="100" spans="1:71">
      <c r="A100" s="1" t="s">
        <v>79</v>
      </c>
      <c r="B100" s="1">
        <v>9</v>
      </c>
      <c r="C100" s="1">
        <v>110.951</v>
      </c>
      <c r="D100" s="1">
        <v>22.0153</v>
      </c>
      <c r="E100" s="1">
        <v>2013</v>
      </c>
      <c r="F100" s="1">
        <v>1.01395270917045</v>
      </c>
      <c r="G100" s="1">
        <v>7.02893599376176</v>
      </c>
      <c r="H100" s="1">
        <v>4.75909226826034</v>
      </c>
      <c r="I100" s="1">
        <v>4.57584435660626</v>
      </c>
      <c r="J100" s="1">
        <v>4.77861916427844</v>
      </c>
      <c r="K100" s="1">
        <v>5.1760367318392</v>
      </c>
      <c r="L100" s="1">
        <v>0.1761807</v>
      </c>
      <c r="M100" s="1">
        <v>5.01727983681492</v>
      </c>
      <c r="N100" s="1">
        <v>1.609438</v>
      </c>
      <c r="O100" s="1">
        <v>10.4930504168395</v>
      </c>
      <c r="P100" s="1">
        <v>115.64</v>
      </c>
      <c r="Q100" s="1">
        <v>96.11</v>
      </c>
      <c r="R100" s="1">
        <v>117.94</v>
      </c>
      <c r="S100" s="1">
        <v>175.98</v>
      </c>
      <c r="T100" s="1">
        <v>66.61</v>
      </c>
      <c r="U100" s="1">
        <v>150</v>
      </c>
      <c r="V100" s="1">
        <v>4</v>
      </c>
      <c r="W100" s="1">
        <v>36063</v>
      </c>
      <c r="X100" s="1">
        <v>0.0350909140703184</v>
      </c>
      <c r="Y100" s="1">
        <v>3.04</v>
      </c>
      <c r="Z100" s="1">
        <v>0.413600000018517</v>
      </c>
      <c r="AA100" s="1">
        <v>6.26570445411175</v>
      </c>
      <c r="AB100" s="1">
        <f t="shared" si="3"/>
        <v>1.83509102482199</v>
      </c>
      <c r="AC100" s="1">
        <v>1.02034100486416</v>
      </c>
      <c r="AD100" s="1">
        <v>0.00442958954731424</v>
      </c>
      <c r="AE100" s="1">
        <v>0.333137254901961</v>
      </c>
      <c r="AF100" s="1">
        <v>2</v>
      </c>
      <c r="AG100" s="1">
        <v>0.331122</v>
      </c>
      <c r="AH100" s="2">
        <v>4.21376</v>
      </c>
      <c r="AI100" s="1">
        <v>28.0681592149756</v>
      </c>
      <c r="AJ100" s="1">
        <v>0.143686762856972</v>
      </c>
      <c r="AK100" s="1">
        <v>0.0954383453376877</v>
      </c>
      <c r="AL100" s="1">
        <v>0.105986781093136</v>
      </c>
      <c r="AM100" s="1">
        <v>0.11687737852592</v>
      </c>
      <c r="AN100" s="1">
        <v>508</v>
      </c>
      <c r="AO100" s="1">
        <v>0.02404308</v>
      </c>
      <c r="AP100" s="1">
        <v>0.05246689</v>
      </c>
      <c r="AQ100" s="1">
        <v>0.02682995</v>
      </c>
      <c r="AR100" s="1">
        <v>0.02150865</v>
      </c>
      <c r="AS100" s="1">
        <v>0.05216167</v>
      </c>
      <c r="AT100" s="1">
        <v>0.0238523</v>
      </c>
      <c r="AU100" s="1">
        <v>0.05605099</v>
      </c>
      <c r="AV100" s="1">
        <v>0.03421986</v>
      </c>
      <c r="AW100" s="1">
        <v>0.03107636</v>
      </c>
      <c r="AX100" s="1">
        <v>0.15920365</v>
      </c>
      <c r="AY100" s="1">
        <v>0.03575425</v>
      </c>
      <c r="AZ100" s="1">
        <v>300</v>
      </c>
      <c r="BA100" s="1">
        <v>31.09</v>
      </c>
      <c r="BB100" s="1">
        <f t="shared" si="4"/>
        <v>5.7037824746562</v>
      </c>
      <c r="BC100" s="1">
        <v>0</v>
      </c>
      <c r="BD100" s="1">
        <v>757.7</v>
      </c>
      <c r="BE100" s="1">
        <v>1.00023508071899</v>
      </c>
      <c r="BF100" s="1">
        <v>-328.551935</v>
      </c>
      <c r="BG100" s="1">
        <v>-0.0719129999999999</v>
      </c>
      <c r="BH100" s="1">
        <v>2186.93331919219</v>
      </c>
      <c r="BI100" s="1">
        <f t="shared" si="5"/>
        <v>7.69025553058789</v>
      </c>
      <c r="BJ100" s="1">
        <v>4.536025</v>
      </c>
      <c r="BK100" s="1">
        <v>8292.908</v>
      </c>
      <c r="BL100" s="1">
        <v>28.0681592149756</v>
      </c>
      <c r="BM100" s="1">
        <v>298765</v>
      </c>
      <c r="BN100" s="1">
        <v>5900000</v>
      </c>
      <c r="BO100" s="1">
        <v>0.0506</v>
      </c>
      <c r="BP100" s="1">
        <v>0.147037</v>
      </c>
      <c r="BQ100" s="1">
        <v>28.068159</v>
      </c>
      <c r="BR100" s="1">
        <v>5646.23</v>
      </c>
      <c r="BS100" s="3">
        <v>1100000</v>
      </c>
    </row>
    <row r="101" spans="1:71">
      <c r="A101" s="1" t="s">
        <v>79</v>
      </c>
      <c r="B101" s="1">
        <v>9</v>
      </c>
      <c r="C101" s="1">
        <v>110.951</v>
      </c>
      <c r="D101" s="1">
        <v>22.0153</v>
      </c>
      <c r="E101" s="1">
        <v>2014</v>
      </c>
      <c r="F101" s="1">
        <v>0.813892281816359</v>
      </c>
      <c r="G101" s="1">
        <v>6.99158837742446</v>
      </c>
      <c r="H101" s="1">
        <v>4.84897873774588</v>
      </c>
      <c r="I101" s="1">
        <v>4.87786551613154</v>
      </c>
      <c r="J101" s="1">
        <v>4.65329346116981</v>
      </c>
      <c r="K101" s="1">
        <v>5.05280038625693</v>
      </c>
      <c r="L101" s="1">
        <v>0.1761807</v>
      </c>
      <c r="M101" s="1">
        <v>6.0407307884109</v>
      </c>
      <c r="N101" s="1">
        <v>1.9459102</v>
      </c>
      <c r="O101" s="1">
        <v>10.5700853978625</v>
      </c>
      <c r="P101" s="1">
        <v>126.61</v>
      </c>
      <c r="Q101" s="1">
        <v>130.35</v>
      </c>
      <c r="R101" s="1">
        <v>103.93</v>
      </c>
      <c r="S101" s="1">
        <v>155.46</v>
      </c>
      <c r="T101" s="1">
        <v>83.44</v>
      </c>
      <c r="U101" s="1">
        <v>419.2</v>
      </c>
      <c r="V101" s="1">
        <v>6</v>
      </c>
      <c r="W101" s="1">
        <v>38951</v>
      </c>
      <c r="X101" s="1">
        <v>0.0361316173181686</v>
      </c>
      <c r="Y101" s="1">
        <v>10.36</v>
      </c>
      <c r="Z101" s="1">
        <v>0.415</v>
      </c>
      <c r="AA101" s="1">
        <v>6.27166927194234</v>
      </c>
      <c r="AB101" s="1">
        <f t="shared" si="3"/>
        <v>1.83604255078125</v>
      </c>
      <c r="AC101" s="1">
        <v>1.07075010026473</v>
      </c>
      <c r="AD101" s="1">
        <v>0.00435007767995857</v>
      </c>
      <c r="AE101" s="1">
        <v>0.408939423642423</v>
      </c>
      <c r="AF101" s="1">
        <v>7</v>
      </c>
      <c r="AG101" s="1">
        <v>0.378216</v>
      </c>
      <c r="AH101" s="2">
        <v>4.43604</v>
      </c>
      <c r="AI101" s="1">
        <v>28.0681592149756</v>
      </c>
      <c r="AJ101" s="1">
        <v>0.143686762856972</v>
      </c>
      <c r="AK101" s="1">
        <v>0.0954383453376877</v>
      </c>
      <c r="AL101" s="1">
        <v>0.105986781093136</v>
      </c>
      <c r="AM101" s="1">
        <v>0.11687737852592</v>
      </c>
      <c r="AN101" s="1">
        <v>508</v>
      </c>
      <c r="AO101" s="1">
        <v>0.02404308</v>
      </c>
      <c r="AP101" s="1">
        <v>0.05246689</v>
      </c>
      <c r="AQ101" s="1">
        <v>0.02682995</v>
      </c>
      <c r="AR101" s="1">
        <v>0.02150865</v>
      </c>
      <c r="AS101" s="1">
        <v>0.05216167</v>
      </c>
      <c r="AT101" s="1">
        <v>0.0238523</v>
      </c>
      <c r="AU101" s="1">
        <v>0.05605099</v>
      </c>
      <c r="AV101" s="1">
        <v>0.03421986</v>
      </c>
      <c r="AW101" s="1">
        <v>0.03107636</v>
      </c>
      <c r="AX101" s="1">
        <v>0.15920365</v>
      </c>
      <c r="AY101" s="1">
        <v>0.03575425</v>
      </c>
      <c r="AZ101" s="1">
        <v>296</v>
      </c>
      <c r="BA101" s="1">
        <v>33.6</v>
      </c>
      <c r="BB101" s="1">
        <f t="shared" si="4"/>
        <v>5.69035945432406</v>
      </c>
      <c r="BC101" s="1">
        <v>0</v>
      </c>
      <c r="BD101" s="1">
        <v>592.55</v>
      </c>
      <c r="BE101" s="1">
        <v>1.03613889217377</v>
      </c>
      <c r="BF101" s="1">
        <v>-265.533515</v>
      </c>
      <c r="BG101" s="1">
        <v>0.303516</v>
      </c>
      <c r="BH101" s="1">
        <v>2375.38425600335</v>
      </c>
      <c r="BI101" s="1">
        <f t="shared" si="5"/>
        <v>7.77291449538324</v>
      </c>
      <c r="BJ101" s="1">
        <v>4.536025</v>
      </c>
      <c r="BK101" s="1">
        <v>9080.734</v>
      </c>
      <c r="BL101" s="1">
        <v>28.0681592149756</v>
      </c>
      <c r="BM101" s="1">
        <v>298765</v>
      </c>
      <c r="BN101" s="1">
        <v>5900000</v>
      </c>
      <c r="BO101" s="1">
        <v>0.0506</v>
      </c>
      <c r="BP101" s="1">
        <v>0.147037</v>
      </c>
      <c r="BQ101" s="1">
        <v>28.068159</v>
      </c>
      <c r="BR101" s="1">
        <v>5646.23</v>
      </c>
      <c r="BS101" s="3">
        <v>1100000</v>
      </c>
    </row>
    <row r="102" spans="1:71">
      <c r="A102" s="1" t="s">
        <v>79</v>
      </c>
      <c r="B102" s="1">
        <v>9</v>
      </c>
      <c r="C102" s="1">
        <v>110.951</v>
      </c>
      <c r="D102" s="1">
        <v>22.0153</v>
      </c>
      <c r="E102" s="1">
        <v>2015</v>
      </c>
      <c r="F102" s="1">
        <v>0.816075891756655</v>
      </c>
      <c r="G102" s="1">
        <v>7.00314052142373</v>
      </c>
      <c r="H102" s="1">
        <v>5.06682657374599</v>
      </c>
      <c r="I102" s="1">
        <v>5.00783136676352</v>
      </c>
      <c r="J102" s="1">
        <v>4.85725098719689</v>
      </c>
      <c r="K102" s="1">
        <v>5.49392526766772</v>
      </c>
      <c r="L102" s="1">
        <v>0.1761807</v>
      </c>
      <c r="M102" s="1">
        <v>3.68135118769314</v>
      </c>
      <c r="N102" s="1">
        <v>2.3978953</v>
      </c>
      <c r="O102" s="1">
        <v>10.6047269029934</v>
      </c>
      <c r="P102" s="1">
        <v>157.67</v>
      </c>
      <c r="Q102" s="1">
        <v>148.58</v>
      </c>
      <c r="R102" s="1">
        <v>127.67</v>
      </c>
      <c r="S102" s="1">
        <v>242.21</v>
      </c>
      <c r="T102" s="1">
        <v>93.53</v>
      </c>
      <c r="U102" s="1">
        <v>38.7</v>
      </c>
      <c r="V102" s="1">
        <v>10</v>
      </c>
      <c r="W102" s="1">
        <v>40324</v>
      </c>
      <c r="X102" s="1">
        <v>0.0416906891066923</v>
      </c>
      <c r="Y102" s="1">
        <v>7.47</v>
      </c>
      <c r="Z102" s="1">
        <v>0.4122</v>
      </c>
      <c r="AA102" s="1">
        <v>6.25098449222668</v>
      </c>
      <c r="AB102" s="1">
        <f t="shared" si="3"/>
        <v>1.8327389700998</v>
      </c>
      <c r="AC102" s="1">
        <v>1.15842543639062</v>
      </c>
      <c r="AD102" s="1">
        <v>0.00454443652651939</v>
      </c>
      <c r="AE102" s="1">
        <v>0.385795860099929</v>
      </c>
      <c r="AF102" s="1">
        <v>2</v>
      </c>
      <c r="AG102" s="1">
        <v>0.39529</v>
      </c>
      <c r="AH102" s="2">
        <v>4.54892</v>
      </c>
      <c r="AI102" s="1">
        <v>28.0681592149756</v>
      </c>
      <c r="AJ102" s="1">
        <v>0.143686762856972</v>
      </c>
      <c r="AK102" s="1">
        <v>0.0954383453376877</v>
      </c>
      <c r="AL102" s="1">
        <v>0.105986781093136</v>
      </c>
      <c r="AM102" s="1">
        <v>0.11687737852592</v>
      </c>
      <c r="AN102" s="1">
        <v>508</v>
      </c>
      <c r="AO102" s="1">
        <v>0.02404308</v>
      </c>
      <c r="AP102" s="1">
        <v>0.05246689</v>
      </c>
      <c r="AQ102" s="1">
        <v>0.02682995</v>
      </c>
      <c r="AR102" s="1">
        <v>0.02150865</v>
      </c>
      <c r="AS102" s="1">
        <v>0.05216167</v>
      </c>
      <c r="AT102" s="1">
        <v>0.0238523</v>
      </c>
      <c r="AU102" s="1">
        <v>0.05605099</v>
      </c>
      <c r="AV102" s="1">
        <v>0.03421986</v>
      </c>
      <c r="AW102" s="1">
        <v>0.03107636</v>
      </c>
      <c r="AX102" s="1">
        <v>0.15920365</v>
      </c>
      <c r="AY102" s="1">
        <v>0.03575425</v>
      </c>
      <c r="AZ102" s="1">
        <v>334</v>
      </c>
      <c r="BA102" s="1">
        <v>35.712</v>
      </c>
      <c r="BB102" s="1">
        <f t="shared" si="4"/>
        <v>5.8111409929767</v>
      </c>
      <c r="BC102" s="1">
        <v>0</v>
      </c>
      <c r="BD102" s="1">
        <v>592.62</v>
      </c>
      <c r="BE102" s="1">
        <v>1.21864116191864</v>
      </c>
      <c r="BF102" s="1">
        <v>-439.881252</v>
      </c>
      <c r="BG102" s="1">
        <v>0.381851</v>
      </c>
      <c r="BH102" s="1">
        <v>2439.73393527904</v>
      </c>
      <c r="BI102" s="1">
        <f t="shared" si="5"/>
        <v>7.79964426942321</v>
      </c>
      <c r="BJ102" s="1">
        <v>4.536025</v>
      </c>
      <c r="BK102" s="1">
        <v>9539.05</v>
      </c>
      <c r="BL102" s="1">
        <v>28.0681592149756</v>
      </c>
      <c r="BM102" s="1">
        <v>298765</v>
      </c>
      <c r="BN102" s="1">
        <v>5900000</v>
      </c>
      <c r="BO102" s="1">
        <v>0.0506</v>
      </c>
      <c r="BP102" s="1">
        <v>0.147037</v>
      </c>
      <c r="BQ102" s="1">
        <v>28.068159</v>
      </c>
      <c r="BR102" s="1">
        <v>5646.23</v>
      </c>
      <c r="BS102" s="3">
        <v>1100000</v>
      </c>
    </row>
    <row r="103" spans="1:71">
      <c r="A103" s="1" t="s">
        <v>79</v>
      </c>
      <c r="B103" s="1">
        <v>9</v>
      </c>
      <c r="C103" s="1">
        <v>110.951</v>
      </c>
      <c r="D103" s="1">
        <v>22.0153</v>
      </c>
      <c r="E103" s="1">
        <v>2016</v>
      </c>
      <c r="F103" s="1">
        <v>1.0170406287471</v>
      </c>
      <c r="G103" s="1">
        <v>7.13449263045371</v>
      </c>
      <c r="H103" s="1">
        <v>5.20633191789483</v>
      </c>
      <c r="I103" s="1">
        <v>5.04969655094731</v>
      </c>
      <c r="J103" s="1">
        <v>5.22525353224646</v>
      </c>
      <c r="K103" s="1">
        <v>5.57380805819903</v>
      </c>
      <c r="L103" s="1">
        <v>0.1761807</v>
      </c>
      <c r="M103" s="1">
        <v>0</v>
      </c>
      <c r="N103" s="1">
        <v>2.6390574</v>
      </c>
      <c r="O103" s="1">
        <v>10.6738735134368</v>
      </c>
      <c r="P103" s="1">
        <v>181.423684427701</v>
      </c>
      <c r="Q103" s="1">
        <v>154.975126828887</v>
      </c>
      <c r="R103" s="1">
        <v>184.908298332782</v>
      </c>
      <c r="S103" s="1">
        <v>262.435368783881</v>
      </c>
      <c r="T103" s="1">
        <v>90.53</v>
      </c>
      <c r="U103" s="1">
        <v>0</v>
      </c>
      <c r="V103" s="1">
        <v>13</v>
      </c>
      <c r="W103" s="1">
        <v>43211</v>
      </c>
      <c r="X103" s="1">
        <v>0.0395078247087743</v>
      </c>
      <c r="Y103" s="1">
        <v>5.27</v>
      </c>
      <c r="Z103" s="1">
        <v>0.401499999981037</v>
      </c>
      <c r="AA103" s="1">
        <v>6.25283893583515</v>
      </c>
      <c r="AB103" s="1">
        <f t="shared" si="3"/>
        <v>1.83303559035084</v>
      </c>
      <c r="AC103" s="1">
        <v>1.22226526774409</v>
      </c>
      <c r="AD103" s="1">
        <v>0.00474342928660826</v>
      </c>
      <c r="AE103" s="1">
        <v>0.336104892868564</v>
      </c>
      <c r="AF103" s="1">
        <v>0</v>
      </c>
      <c r="AG103" s="1">
        <v>0.394488</v>
      </c>
      <c r="AH103" s="2">
        <v>4.51667</v>
      </c>
      <c r="AI103" s="1">
        <v>28.0681592149756</v>
      </c>
      <c r="AJ103" s="1">
        <v>0.143686762856972</v>
      </c>
      <c r="AK103" s="1">
        <v>0.0954383453376877</v>
      </c>
      <c r="AL103" s="1">
        <v>0.105986781093136</v>
      </c>
      <c r="AM103" s="1">
        <v>0.11687737852592</v>
      </c>
      <c r="AN103" s="1">
        <v>508</v>
      </c>
      <c r="AO103" s="1">
        <v>0.02404308</v>
      </c>
      <c r="AP103" s="1">
        <v>0.05246689</v>
      </c>
      <c r="AQ103" s="1">
        <v>0.02682995</v>
      </c>
      <c r="AR103" s="1">
        <v>0.02150865</v>
      </c>
      <c r="AS103" s="1">
        <v>0.05216167</v>
      </c>
      <c r="AT103" s="1">
        <v>0.0238523</v>
      </c>
      <c r="AU103" s="1">
        <v>0.05605099</v>
      </c>
      <c r="AV103" s="1">
        <v>0.03421986</v>
      </c>
      <c r="AW103" s="1">
        <v>0.03107636</v>
      </c>
      <c r="AX103" s="1">
        <v>0.15920365</v>
      </c>
      <c r="AY103" s="1">
        <v>0.03575425</v>
      </c>
      <c r="AZ103" s="1">
        <v>716</v>
      </c>
      <c r="BA103" s="1">
        <v>37.9</v>
      </c>
      <c r="BB103" s="1">
        <f t="shared" si="4"/>
        <v>6.57368016696065</v>
      </c>
      <c r="BC103" s="1">
        <v>0</v>
      </c>
      <c r="BD103" s="1">
        <v>593.72</v>
      </c>
      <c r="BE103" s="1">
        <v>1.23366892337799</v>
      </c>
      <c r="BF103" s="1">
        <v>-317.20575</v>
      </c>
      <c r="BG103" s="1">
        <v>0.4764788</v>
      </c>
      <c r="BH103" s="1">
        <v>2618.91166497192</v>
      </c>
      <c r="BI103" s="1">
        <f t="shared" si="5"/>
        <v>7.87051411540583</v>
      </c>
      <c r="BJ103" s="1">
        <v>4.536025</v>
      </c>
      <c r="BK103" s="1">
        <v>10119.99</v>
      </c>
      <c r="BL103" s="1">
        <v>28.0681592149756</v>
      </c>
      <c r="BM103" s="1">
        <v>298765</v>
      </c>
      <c r="BN103" s="1">
        <v>5900000</v>
      </c>
      <c r="BO103" s="1">
        <v>0.0506</v>
      </c>
      <c r="BP103" s="1">
        <v>0.147037</v>
      </c>
      <c r="BQ103" s="1">
        <v>28.068159</v>
      </c>
      <c r="BR103" s="1">
        <v>5646.23</v>
      </c>
      <c r="BS103" s="3">
        <v>1100000</v>
      </c>
    </row>
    <row r="104" spans="1:71">
      <c r="A104" s="1" t="s">
        <v>79</v>
      </c>
      <c r="B104" s="1">
        <v>9</v>
      </c>
      <c r="C104" s="1">
        <v>110.951</v>
      </c>
      <c r="D104" s="1">
        <v>22.0153</v>
      </c>
      <c r="E104" s="1">
        <v>2017</v>
      </c>
      <c r="F104" s="1">
        <v>0.708815113421959</v>
      </c>
      <c r="G104" s="1">
        <v>7.20651205464648</v>
      </c>
      <c r="H104" s="1">
        <v>5.34514567372439</v>
      </c>
      <c r="I104" s="1">
        <v>5.17287664683983</v>
      </c>
      <c r="J104" s="1">
        <v>5.46585534611517</v>
      </c>
      <c r="K104" s="1">
        <v>5.5993647758883</v>
      </c>
      <c r="L104" s="1">
        <v>0.1761807</v>
      </c>
      <c r="M104" s="1">
        <v>3.93221771271366</v>
      </c>
      <c r="N104" s="1">
        <v>2.7725887</v>
      </c>
      <c r="O104" s="1">
        <v>10.7603918126446</v>
      </c>
      <c r="P104" s="1">
        <v>208.58841385772</v>
      </c>
      <c r="Q104" s="1">
        <v>175.421610877515</v>
      </c>
      <c r="R104" s="1">
        <v>235.478039169419</v>
      </c>
      <c r="S104" s="1">
        <v>269.254680579816</v>
      </c>
      <c r="T104" s="1">
        <v>98.56</v>
      </c>
      <c r="U104" s="1">
        <v>50.02</v>
      </c>
      <c r="V104" s="1">
        <v>15</v>
      </c>
      <c r="W104" s="1">
        <v>47116.1255</v>
      </c>
      <c r="X104" s="1">
        <v>0.0467682442291139</v>
      </c>
      <c r="Y104" s="1">
        <v>16.37</v>
      </c>
      <c r="Z104" s="4">
        <v>0.39</v>
      </c>
      <c r="AA104" s="1">
        <v>6.26106605814469</v>
      </c>
      <c r="AB104" s="1">
        <f t="shared" si="3"/>
        <v>1.83435046744137</v>
      </c>
      <c r="AC104" s="1">
        <v>1.23921123059884</v>
      </c>
      <c r="AD104" s="1">
        <v>0.00486318407960199</v>
      </c>
      <c r="AE104" s="1">
        <v>0.438334973983968</v>
      </c>
      <c r="AF104" s="1">
        <v>11</v>
      </c>
      <c r="AG104" s="1">
        <v>0.428682</v>
      </c>
      <c r="AH104" s="2">
        <v>4.60076</v>
      </c>
      <c r="AI104" s="1">
        <v>28.0681592149756</v>
      </c>
      <c r="AJ104" s="1">
        <v>0.143686762856972</v>
      </c>
      <c r="AK104" s="1">
        <v>0.0954383453376877</v>
      </c>
      <c r="AL104" s="1">
        <v>0.105986781093136</v>
      </c>
      <c r="AM104" s="1">
        <v>0.11687737852592</v>
      </c>
      <c r="AN104" s="1">
        <v>508</v>
      </c>
      <c r="AO104" s="1">
        <v>0.02404308</v>
      </c>
      <c r="AP104" s="1">
        <v>0.05246689</v>
      </c>
      <c r="AQ104" s="1">
        <v>0.02682995</v>
      </c>
      <c r="AR104" s="1">
        <v>0.02150865</v>
      </c>
      <c r="AS104" s="1">
        <v>0.05216167</v>
      </c>
      <c r="AT104" s="1">
        <v>0.0238523</v>
      </c>
      <c r="AU104" s="1">
        <v>0.05605099</v>
      </c>
      <c r="AV104" s="1">
        <v>0.03421986</v>
      </c>
      <c r="AW104" s="1">
        <v>0.03107636</v>
      </c>
      <c r="AX104" s="1">
        <v>0.15920365</v>
      </c>
      <c r="AY104" s="1">
        <v>0.03575425</v>
      </c>
      <c r="AZ104" s="1">
        <v>691</v>
      </c>
      <c r="BA104" s="1">
        <v>39.1</v>
      </c>
      <c r="BB104" s="1">
        <f t="shared" si="4"/>
        <v>6.53813982376767</v>
      </c>
      <c r="BC104" s="1">
        <v>0.00141</v>
      </c>
      <c r="BD104" s="1">
        <v>598.52</v>
      </c>
      <c r="BE104" s="1">
        <v>1.34098184108734</v>
      </c>
      <c r="BF104" s="1">
        <v>-178.77761</v>
      </c>
      <c r="BG104" s="1">
        <v>0.4859654</v>
      </c>
      <c r="BH104" s="1">
        <v>2881.06753</v>
      </c>
      <c r="BI104" s="1">
        <f t="shared" si="5"/>
        <v>7.96591617458768</v>
      </c>
      <c r="BJ104" s="1">
        <v>4.536025</v>
      </c>
      <c r="BK104" s="1">
        <v>10752.11</v>
      </c>
      <c r="BL104" s="1">
        <v>28.0681592149756</v>
      </c>
      <c r="BM104" s="1">
        <v>298765</v>
      </c>
      <c r="BN104" s="1">
        <v>5900000</v>
      </c>
      <c r="BO104" s="1">
        <v>0.0506</v>
      </c>
      <c r="BP104" s="1">
        <v>0.147037</v>
      </c>
      <c r="BQ104" s="1">
        <v>28.068159</v>
      </c>
      <c r="BR104" s="1">
        <v>5646.23</v>
      </c>
      <c r="BS104" s="3">
        <v>1100000</v>
      </c>
    </row>
    <row r="105" spans="1:71">
      <c r="A105" s="1" t="s">
        <v>79</v>
      </c>
      <c r="B105" s="1">
        <v>9</v>
      </c>
      <c r="C105" s="1">
        <v>110.951</v>
      </c>
      <c r="D105" s="1">
        <v>22.0153</v>
      </c>
      <c r="E105" s="1">
        <v>2018</v>
      </c>
      <c r="F105" s="1">
        <v>0.700217299806214</v>
      </c>
      <c r="G105" s="1">
        <v>7.29529419267227</v>
      </c>
      <c r="H105" s="1">
        <v>5.39294793865317</v>
      </c>
      <c r="I105" s="1">
        <v>5.27435065004384</v>
      </c>
      <c r="J105" s="1">
        <v>5.4304107124288</v>
      </c>
      <c r="K105" s="1">
        <v>5.65528896702986</v>
      </c>
      <c r="L105" s="1">
        <v>0.1761807</v>
      </c>
      <c r="M105" s="1">
        <v>2.56494935746153</v>
      </c>
      <c r="N105" s="1">
        <v>2.7725887</v>
      </c>
      <c r="O105" s="1">
        <v>10.8078473935423</v>
      </c>
      <c r="P105" s="1">
        <v>218.850537080477</v>
      </c>
      <c r="Q105" s="1">
        <v>194.263640868921</v>
      </c>
      <c r="R105" s="1">
        <v>227.242968365508</v>
      </c>
      <c r="S105" s="1">
        <v>284.799057308638</v>
      </c>
      <c r="T105" s="1">
        <v>106.58</v>
      </c>
      <c r="U105" s="1">
        <v>12</v>
      </c>
      <c r="V105" s="1">
        <v>15</v>
      </c>
      <c r="W105" s="1">
        <v>49406</v>
      </c>
      <c r="X105" s="1">
        <v>0.0490912744704637</v>
      </c>
      <c r="Y105" s="1">
        <v>8.31</v>
      </c>
      <c r="Z105" s="1">
        <v>0.381200000012936</v>
      </c>
      <c r="AA105" s="1">
        <v>6.27340359124396</v>
      </c>
      <c r="AB105" s="1">
        <f t="shared" si="3"/>
        <v>1.83631904488081</v>
      </c>
      <c r="AC105" s="1">
        <v>1.30793481795737</v>
      </c>
      <c r="AD105" s="1">
        <v>0.00536017262638718</v>
      </c>
      <c r="AE105" s="1">
        <v>0.672480948348857</v>
      </c>
      <c r="AF105" s="1">
        <v>1</v>
      </c>
      <c r="AG105" s="1">
        <v>0.428792</v>
      </c>
      <c r="AH105" s="2">
        <v>4.67823</v>
      </c>
      <c r="AI105" s="1">
        <v>28.0681592149756</v>
      </c>
      <c r="AJ105" s="1">
        <v>0.143686762856972</v>
      </c>
      <c r="AK105" s="1">
        <v>0.0954383453376877</v>
      </c>
      <c r="AL105" s="1">
        <v>0.105986781093136</v>
      </c>
      <c r="AM105" s="1">
        <v>0.11687737852592</v>
      </c>
      <c r="AN105" s="1">
        <v>508</v>
      </c>
      <c r="AO105" s="1">
        <v>0.02404308</v>
      </c>
      <c r="AP105" s="1">
        <v>0.05246689</v>
      </c>
      <c r="AQ105" s="1">
        <v>0.02682995</v>
      </c>
      <c r="AR105" s="1">
        <v>0.02150865</v>
      </c>
      <c r="AS105" s="1">
        <v>0.05216167</v>
      </c>
      <c r="AT105" s="1">
        <v>0.0238523</v>
      </c>
      <c r="AU105" s="1">
        <v>0.05605099</v>
      </c>
      <c r="AV105" s="1">
        <v>0.03421986</v>
      </c>
      <c r="AW105" s="1">
        <v>0.03107636</v>
      </c>
      <c r="AX105" s="1">
        <v>0.15920365</v>
      </c>
      <c r="AY105" s="1">
        <v>0.03575425</v>
      </c>
      <c r="AZ105" s="1">
        <v>622</v>
      </c>
      <c r="BA105" s="1">
        <v>43.5</v>
      </c>
      <c r="BB105" s="1">
        <f t="shared" si="4"/>
        <v>6.43294009273918</v>
      </c>
      <c r="BC105" s="1">
        <v>0.00164</v>
      </c>
      <c r="BD105" s="1">
        <v>605.95</v>
      </c>
      <c r="BE105" s="1">
        <v>1.40130603313446</v>
      </c>
      <c r="BF105" s="1">
        <v>-55.300175</v>
      </c>
      <c r="BG105" s="1">
        <v>0.7561659</v>
      </c>
      <c r="BH105" s="1">
        <v>3095.1134</v>
      </c>
      <c r="BI105" s="1">
        <f t="shared" si="5"/>
        <v>8.037579824189</v>
      </c>
      <c r="BJ105" s="1">
        <v>4.536025</v>
      </c>
      <c r="BK105" s="1">
        <v>11350.99</v>
      </c>
      <c r="BL105" s="1">
        <v>28.0681592149756</v>
      </c>
      <c r="BM105" s="1">
        <v>298765</v>
      </c>
      <c r="BN105" s="1">
        <v>5900000</v>
      </c>
      <c r="BO105" s="1">
        <v>0.0506</v>
      </c>
      <c r="BP105" s="1">
        <v>0.147037</v>
      </c>
      <c r="BQ105" s="1">
        <v>28.068159</v>
      </c>
      <c r="BR105" s="1">
        <v>5646.23</v>
      </c>
      <c r="BS105" s="3">
        <v>1100000</v>
      </c>
    </row>
    <row r="106" spans="1:71">
      <c r="A106" s="1" t="s">
        <v>79</v>
      </c>
      <c r="B106" s="1">
        <v>9</v>
      </c>
      <c r="C106" s="1">
        <v>110.951</v>
      </c>
      <c r="D106" s="1">
        <v>22.0153</v>
      </c>
      <c r="E106" s="1">
        <v>2019</v>
      </c>
      <c r="F106" s="1">
        <v>0.653255681682228</v>
      </c>
      <c r="G106" s="1">
        <v>7.30940867440152</v>
      </c>
      <c r="H106" s="1">
        <v>5.44889675704908</v>
      </c>
      <c r="I106" s="1">
        <v>5.36942053984763</v>
      </c>
      <c r="J106" s="1">
        <v>5.46655847791616</v>
      </c>
      <c r="K106" s="1">
        <v>5.64770926412302</v>
      </c>
      <c r="L106" s="1">
        <v>0.1761807</v>
      </c>
      <c r="M106" s="1">
        <v>0</v>
      </c>
      <c r="N106" s="1">
        <v>2.0794415</v>
      </c>
      <c r="O106" s="1">
        <v>10.8419218812625</v>
      </c>
      <c r="P106" s="1">
        <v>231.50151869438</v>
      </c>
      <c r="Q106" s="1">
        <v>213.738399332398</v>
      </c>
      <c r="R106" s="1">
        <v>235.644372915814</v>
      </c>
      <c r="S106" s="1">
        <v>282.640974480144</v>
      </c>
      <c r="T106" s="1">
        <v>117</v>
      </c>
      <c r="U106" s="1">
        <v>0</v>
      </c>
      <c r="V106" s="1">
        <v>7</v>
      </c>
      <c r="W106" s="1">
        <v>51118.5293</v>
      </c>
      <c r="X106" s="1">
        <v>0.0603883106060539</v>
      </c>
      <c r="Y106" s="1">
        <v>1.95</v>
      </c>
      <c r="Z106" s="1">
        <v>0.3459</v>
      </c>
      <c r="AA106" s="1">
        <v>6.28367563752163</v>
      </c>
      <c r="AB106" s="1">
        <f t="shared" si="3"/>
        <v>1.83795510186218</v>
      </c>
      <c r="AC106" s="1">
        <v>1.41132462270162</v>
      </c>
      <c r="AD106" s="1">
        <v>0.0068859413202934</v>
      </c>
      <c r="AE106" s="1">
        <v>0.609364894580261</v>
      </c>
      <c r="AF106" s="1">
        <v>0</v>
      </c>
      <c r="AG106" s="1">
        <v>0.446706</v>
      </c>
      <c r="AH106" s="2">
        <v>4.77068</v>
      </c>
      <c r="AI106" s="1">
        <v>28.0681592149756</v>
      </c>
      <c r="AJ106" s="1">
        <v>0.143686762856972</v>
      </c>
      <c r="AK106" s="1">
        <v>0.0954383453376877</v>
      </c>
      <c r="AL106" s="1">
        <v>0.105986781093136</v>
      </c>
      <c r="AM106" s="1">
        <v>0.11687737852592</v>
      </c>
      <c r="AN106" s="1">
        <v>508</v>
      </c>
      <c r="AO106" s="1">
        <v>0.02404308</v>
      </c>
      <c r="AP106" s="1">
        <v>0.05246689</v>
      </c>
      <c r="AQ106" s="1">
        <v>0.02682995</v>
      </c>
      <c r="AR106" s="1">
        <v>0.02150865</v>
      </c>
      <c r="AS106" s="1">
        <v>0.05216167</v>
      </c>
      <c r="AT106" s="1">
        <v>0.0238523</v>
      </c>
      <c r="AU106" s="1">
        <v>0.05605099</v>
      </c>
      <c r="AV106" s="1">
        <v>0.03421986</v>
      </c>
      <c r="AW106" s="1">
        <v>0.03107636</v>
      </c>
      <c r="AX106" s="1">
        <v>0.15920365</v>
      </c>
      <c r="AY106" s="1">
        <v>0.03575425</v>
      </c>
      <c r="AZ106" s="1">
        <v>781</v>
      </c>
      <c r="BA106" s="1">
        <v>56</v>
      </c>
      <c r="BB106" s="1">
        <f t="shared" si="4"/>
        <v>6.66057514983969</v>
      </c>
      <c r="BC106" s="1">
        <v>0.000926</v>
      </c>
      <c r="BD106" s="1">
        <v>612.26</v>
      </c>
      <c r="BE106" s="1">
        <v>1.47379887104034</v>
      </c>
      <c r="BF106" s="1">
        <v>-13.900885</v>
      </c>
      <c r="BG106" s="1">
        <v>1.3366695</v>
      </c>
      <c r="BH106" s="1">
        <v>3248.11453115556</v>
      </c>
      <c r="BI106" s="1">
        <f t="shared" si="5"/>
        <v>8.08582996271516</v>
      </c>
      <c r="BJ106" s="1">
        <v>4.536025</v>
      </c>
      <c r="BK106" s="1">
        <v>12182.19</v>
      </c>
      <c r="BL106" s="1">
        <v>28.0681592149756</v>
      </c>
      <c r="BM106" s="1">
        <v>298765</v>
      </c>
      <c r="BN106" s="1">
        <v>5900000</v>
      </c>
      <c r="BO106" s="1">
        <v>0.0506</v>
      </c>
      <c r="BP106" s="1">
        <v>0.147037</v>
      </c>
      <c r="BQ106" s="1">
        <v>28.068159</v>
      </c>
      <c r="BR106" s="1">
        <v>5646.23</v>
      </c>
      <c r="BS106" s="3">
        <v>1100000</v>
      </c>
    </row>
    <row r="107" spans="1:71">
      <c r="A107" s="1" t="s">
        <v>79</v>
      </c>
      <c r="B107" s="1">
        <v>9</v>
      </c>
      <c r="C107" s="1">
        <v>110.951</v>
      </c>
      <c r="D107" s="1">
        <v>22.0153</v>
      </c>
      <c r="E107" s="1">
        <v>2020</v>
      </c>
      <c r="F107" s="1">
        <v>0.587576121962519</v>
      </c>
      <c r="G107" s="1">
        <v>7.35909417068951</v>
      </c>
      <c r="H107" s="1">
        <v>5.4955414072502</v>
      </c>
      <c r="I107" s="1">
        <v>5.44392830925254</v>
      </c>
      <c r="J107" s="1">
        <v>5.49639427587159</v>
      </c>
      <c r="K107" s="1">
        <v>5.64792994095996</v>
      </c>
      <c r="L107" s="1">
        <v>0.1761807</v>
      </c>
      <c r="M107" s="1">
        <v>0</v>
      </c>
      <c r="N107" s="1">
        <v>2.3025851</v>
      </c>
      <c r="O107" s="1">
        <v>10.8839125050794</v>
      </c>
      <c r="P107" s="1">
        <v>242.603379080118</v>
      </c>
      <c r="Q107" s="1">
        <v>230.349211992721</v>
      </c>
      <c r="R107" s="1">
        <v>242.811229356596</v>
      </c>
      <c r="S107" s="1">
        <v>282.703574391084</v>
      </c>
      <c r="T107" s="1">
        <v>96.04</v>
      </c>
      <c r="U107" s="1">
        <v>0</v>
      </c>
      <c r="V107" s="1">
        <v>9</v>
      </c>
      <c r="W107" s="1">
        <v>53310.775</v>
      </c>
      <c r="X107" s="1">
        <v>0.0607650271824307</v>
      </c>
      <c r="Y107" s="1">
        <v>4.59</v>
      </c>
      <c r="Z107" s="1">
        <v>0.3147</v>
      </c>
      <c r="AA107" s="1">
        <v>6.29291956553628</v>
      </c>
      <c r="AB107" s="1">
        <f t="shared" si="3"/>
        <v>1.83942512288617</v>
      </c>
      <c r="AC107" s="1">
        <v>1.55846925158579</v>
      </c>
      <c r="AD107" s="1">
        <v>0.00905221615057681</v>
      </c>
      <c r="AE107" s="1">
        <v>0.553737786866621</v>
      </c>
      <c r="AF107" s="1">
        <v>0</v>
      </c>
      <c r="AG107" s="1">
        <v>0.45784</v>
      </c>
      <c r="AH107" s="2">
        <v>4.57512</v>
      </c>
      <c r="AI107" s="1">
        <v>28.0681592149756</v>
      </c>
      <c r="AJ107" s="1">
        <v>0.143686762856972</v>
      </c>
      <c r="AK107" s="1">
        <v>0.0954383453376877</v>
      </c>
      <c r="AL107" s="1">
        <v>0.105986781093136</v>
      </c>
      <c r="AM107" s="1">
        <v>0.11687737852592</v>
      </c>
      <c r="AN107" s="1">
        <v>508</v>
      </c>
      <c r="AO107" s="1">
        <v>0.02404308</v>
      </c>
      <c r="AP107" s="1">
        <v>0.05246689</v>
      </c>
      <c r="AQ107" s="1">
        <v>0.02682995</v>
      </c>
      <c r="AR107" s="1">
        <v>0.02150865</v>
      </c>
      <c r="AS107" s="1">
        <v>0.05216167</v>
      </c>
      <c r="AT107" s="1">
        <v>0.0238523</v>
      </c>
      <c r="AU107" s="1">
        <v>0.05605099</v>
      </c>
      <c r="AV107" s="1">
        <v>0.03421986</v>
      </c>
      <c r="AW107" s="1">
        <v>0.03107636</v>
      </c>
      <c r="AX107" s="1">
        <v>0.15920365</v>
      </c>
      <c r="AY107" s="1">
        <v>0.03575425</v>
      </c>
      <c r="AZ107" s="1">
        <v>1165</v>
      </c>
      <c r="BA107" s="1">
        <v>81.8</v>
      </c>
      <c r="BB107" s="1">
        <f t="shared" si="4"/>
        <v>7.0604763659998</v>
      </c>
      <c r="BC107" s="1">
        <v>0.000344</v>
      </c>
      <c r="BD107" s="1">
        <v>618</v>
      </c>
      <c r="BE107" s="1">
        <v>1.54800140857697</v>
      </c>
      <c r="BF107" s="1">
        <v>0.534814</v>
      </c>
      <c r="BG107" s="1">
        <v>2.2182095</v>
      </c>
      <c r="BH107" s="1">
        <v>3279.3057</v>
      </c>
      <c r="BI107" s="1">
        <f t="shared" si="5"/>
        <v>8.09538700214222</v>
      </c>
      <c r="BJ107" s="1">
        <v>4.536025</v>
      </c>
      <c r="BK107" s="1">
        <v>12556.99</v>
      </c>
      <c r="BL107" s="1">
        <v>28.0681592149756</v>
      </c>
      <c r="BM107" s="1">
        <v>298765</v>
      </c>
      <c r="BN107" s="1">
        <v>5900000</v>
      </c>
      <c r="BO107" s="1">
        <v>0.0506</v>
      </c>
      <c r="BP107" s="1">
        <v>0.147037</v>
      </c>
      <c r="BQ107" s="1">
        <v>28.068159</v>
      </c>
      <c r="BR107" s="1">
        <v>5646.23</v>
      </c>
      <c r="BS107" s="3">
        <v>1100000</v>
      </c>
    </row>
    <row r="108" spans="1:71">
      <c r="A108" s="1" t="s">
        <v>79</v>
      </c>
      <c r="B108" s="1">
        <v>9</v>
      </c>
      <c r="C108" s="1">
        <v>110.951</v>
      </c>
      <c r="D108" s="1">
        <v>22.0153</v>
      </c>
      <c r="E108" s="1">
        <v>2021</v>
      </c>
      <c r="F108" s="1">
        <v>0.626563304829156</v>
      </c>
      <c r="G108" s="1">
        <v>7.54341944620188</v>
      </c>
      <c r="H108" s="1">
        <v>5.61034671635908</v>
      </c>
      <c r="I108" s="1">
        <v>5.59399970151198</v>
      </c>
      <c r="J108" s="1">
        <v>5.59475123419796</v>
      </c>
      <c r="K108" s="1">
        <v>5.68889848729342</v>
      </c>
      <c r="L108" s="1">
        <v>0.1761807</v>
      </c>
      <c r="M108" s="1">
        <v>0</v>
      </c>
      <c r="N108" s="1">
        <v>3.583519</v>
      </c>
      <c r="O108" s="1">
        <v>10.6255146083168</v>
      </c>
      <c r="P108" s="1">
        <v>272.238958046182</v>
      </c>
      <c r="Q108" s="1">
        <v>267.808626744634</v>
      </c>
      <c r="R108" s="1">
        <v>268.010721063622</v>
      </c>
      <c r="S108" s="1">
        <v>294.567869547524</v>
      </c>
      <c r="T108" s="1">
        <v>124.56</v>
      </c>
      <c r="U108" s="1">
        <v>0</v>
      </c>
      <c r="V108" s="1">
        <v>35</v>
      </c>
      <c r="W108" s="1">
        <v>41171.0377</v>
      </c>
      <c r="X108" s="1">
        <v>0.0620210550049158</v>
      </c>
      <c r="Y108" s="1">
        <v>16.02</v>
      </c>
      <c r="Z108" s="1">
        <v>0.3567</v>
      </c>
      <c r="AA108" s="1">
        <v>6.29923547525208</v>
      </c>
      <c r="AB108" s="1">
        <f t="shared" si="3"/>
        <v>1.84042827289901</v>
      </c>
      <c r="AC108" s="1">
        <v>1.50324809844357</v>
      </c>
      <c r="AD108" s="1">
        <v>0.0100078407720145</v>
      </c>
      <c r="AE108" s="1">
        <v>0.596471611380296</v>
      </c>
      <c r="AF108" s="1">
        <v>0</v>
      </c>
      <c r="AG108" s="1">
        <v>0.485932</v>
      </c>
      <c r="AH108" s="2">
        <v>4.83278</v>
      </c>
      <c r="AI108" s="1">
        <v>28.0681592149756</v>
      </c>
      <c r="AJ108" s="1">
        <v>0.143686762856972</v>
      </c>
      <c r="AK108" s="1">
        <v>0.0954383453376877</v>
      </c>
      <c r="AL108" s="1">
        <v>0.105986781093136</v>
      </c>
      <c r="AM108" s="1">
        <v>0.11687737852592</v>
      </c>
      <c r="AN108" s="1">
        <v>508</v>
      </c>
      <c r="AO108" s="1">
        <v>0.02404308</v>
      </c>
      <c r="AP108" s="1">
        <v>0.05246689</v>
      </c>
      <c r="AQ108" s="1">
        <v>0.02682995</v>
      </c>
      <c r="AR108" s="1">
        <v>0.02150865</v>
      </c>
      <c r="AS108" s="1">
        <v>0.05216167</v>
      </c>
      <c r="AT108" s="1">
        <v>0.0238523</v>
      </c>
      <c r="AU108" s="1">
        <v>0.05605099</v>
      </c>
      <c r="AV108" s="1">
        <v>0.03421986</v>
      </c>
      <c r="AW108" s="1">
        <v>0.03107636</v>
      </c>
      <c r="AX108" s="1">
        <v>0.15920365</v>
      </c>
      <c r="AY108" s="1">
        <v>0.03575425</v>
      </c>
      <c r="AZ108" s="1">
        <v>778</v>
      </c>
      <c r="BA108" s="1">
        <v>83</v>
      </c>
      <c r="BB108" s="1">
        <f t="shared" si="4"/>
        <v>6.65672652417839</v>
      </c>
      <c r="BC108" s="1">
        <v>0.00042</v>
      </c>
      <c r="BD108" s="1">
        <v>621.97</v>
      </c>
      <c r="BE108" s="1">
        <v>1.31136536598206</v>
      </c>
      <c r="BF108" s="1">
        <v>397.5983346</v>
      </c>
      <c r="BG108" s="1">
        <v>3.8075429</v>
      </c>
      <c r="BH108" s="1">
        <v>3698.1022</v>
      </c>
      <c r="BI108" s="1">
        <f t="shared" si="5"/>
        <v>8.21557504812549</v>
      </c>
      <c r="BJ108" s="1">
        <v>4.536025</v>
      </c>
      <c r="BK108" s="1">
        <v>14541.85</v>
      </c>
      <c r="BL108" s="1">
        <v>28.0681592149756</v>
      </c>
      <c r="BM108" s="1">
        <v>298765</v>
      </c>
      <c r="BN108" s="1">
        <v>5900000</v>
      </c>
      <c r="BO108" s="1">
        <v>0.0506</v>
      </c>
      <c r="BP108" s="1">
        <v>0.147037</v>
      </c>
      <c r="BQ108" s="1">
        <v>28.068159</v>
      </c>
      <c r="BR108" s="1">
        <v>5646.23</v>
      </c>
      <c r="BS108" s="3">
        <v>1100000</v>
      </c>
    </row>
    <row r="109" spans="1:71">
      <c r="A109" s="1" t="s">
        <v>79</v>
      </c>
      <c r="B109" s="1">
        <v>9</v>
      </c>
      <c r="C109" s="1">
        <v>110.951</v>
      </c>
      <c r="D109" s="1">
        <v>22.0153</v>
      </c>
      <c r="E109" s="1">
        <v>2022</v>
      </c>
      <c r="F109" s="1">
        <v>0.620219073549592</v>
      </c>
      <c r="G109" s="1">
        <v>7.46116876146804</v>
      </c>
      <c r="H109" s="1">
        <v>5.62663557965031</v>
      </c>
      <c r="I109" s="1">
        <v>5.66413978864489</v>
      </c>
      <c r="J109" s="1">
        <v>5.50717232032351</v>
      </c>
      <c r="K109" s="1">
        <v>5.7021969089777</v>
      </c>
      <c r="L109" s="1">
        <v>0.1761807</v>
      </c>
      <c r="M109" s="1">
        <v>0</v>
      </c>
      <c r="N109" s="1">
        <v>3.3672957</v>
      </c>
      <c r="O109" s="1">
        <v>11.0458934162026</v>
      </c>
      <c r="P109" s="1">
        <v>276.72615648303</v>
      </c>
      <c r="Q109" s="1">
        <v>287.33984122251</v>
      </c>
      <c r="R109" s="1">
        <v>245.453249969887</v>
      </c>
      <c r="S109" s="1">
        <v>298.524707195535</v>
      </c>
      <c r="T109" s="1">
        <v>115.24</v>
      </c>
      <c r="U109" s="1">
        <v>0</v>
      </c>
      <c r="V109" s="1">
        <v>28</v>
      </c>
      <c r="W109" s="1">
        <v>62685</v>
      </c>
      <c r="X109" s="1">
        <v>0.065857729377106</v>
      </c>
      <c r="Y109" s="1">
        <v>5.21</v>
      </c>
      <c r="Z109" s="1">
        <v>0.364</v>
      </c>
      <c r="AA109" s="1">
        <v>6.30216608480743</v>
      </c>
      <c r="AB109" s="1">
        <f t="shared" si="3"/>
        <v>1.84089339728922</v>
      </c>
      <c r="AC109" s="1">
        <v>1.55992425912936</v>
      </c>
      <c r="AD109" s="1">
        <v>0.0108823244552058</v>
      </c>
      <c r="AE109" s="1">
        <v>0.813559322033898</v>
      </c>
      <c r="AF109" s="1">
        <v>0</v>
      </c>
      <c r="AG109" s="1">
        <v>0.462672</v>
      </c>
      <c r="AH109" s="2">
        <v>4.75566</v>
      </c>
      <c r="AI109" s="1">
        <v>28.0681592149756</v>
      </c>
      <c r="AJ109" s="1">
        <v>0.143686762856972</v>
      </c>
      <c r="AK109" s="1">
        <v>0.0954383453376877</v>
      </c>
      <c r="AL109" s="1">
        <v>0.105986781093136</v>
      </c>
      <c r="AM109" s="1">
        <v>0.11687737852592</v>
      </c>
      <c r="AN109" s="1">
        <v>508</v>
      </c>
      <c r="AO109" s="1">
        <v>0.02404308</v>
      </c>
      <c r="AP109" s="1">
        <v>0.05246689</v>
      </c>
      <c r="AQ109" s="1">
        <v>0.02682995</v>
      </c>
      <c r="AR109" s="1">
        <v>0.02150865</v>
      </c>
      <c r="AS109" s="1">
        <v>0.05216167</v>
      </c>
      <c r="AT109" s="1">
        <v>0.0238523</v>
      </c>
      <c r="AU109" s="1">
        <v>0.05605099</v>
      </c>
      <c r="AV109" s="1">
        <v>0.03421986</v>
      </c>
      <c r="AW109" s="1">
        <v>0.03107636</v>
      </c>
      <c r="AX109" s="1">
        <v>0.15920365</v>
      </c>
      <c r="AY109" s="1">
        <v>0.03575425</v>
      </c>
      <c r="AZ109" s="1">
        <v>782</v>
      </c>
      <c r="BA109" s="1">
        <v>90.8</v>
      </c>
      <c r="BB109" s="1">
        <f t="shared" si="4"/>
        <v>6.66185474054531</v>
      </c>
      <c r="BC109" s="1">
        <v>0</v>
      </c>
      <c r="BD109" s="1">
        <v>623.82</v>
      </c>
      <c r="BE109" s="1">
        <v>1.25570676649403</v>
      </c>
      <c r="BF109" s="1">
        <v>522.2663205</v>
      </c>
      <c r="BG109" s="1">
        <v>6.0525846</v>
      </c>
      <c r="BH109" s="1">
        <v>3904.63</v>
      </c>
      <c r="BI109" s="1">
        <f t="shared" si="5"/>
        <v>8.26991830746459</v>
      </c>
      <c r="BJ109" s="1">
        <v>4.536025</v>
      </c>
      <c r="BK109" s="1">
        <v>15173.52</v>
      </c>
      <c r="BL109" s="1">
        <v>28.0681592149756</v>
      </c>
      <c r="BM109" s="1">
        <v>298765</v>
      </c>
      <c r="BN109" s="1">
        <v>5900000</v>
      </c>
      <c r="BO109" s="1">
        <v>0.0506</v>
      </c>
      <c r="BP109" s="1">
        <v>0.147037</v>
      </c>
      <c r="BQ109" s="1">
        <v>28.068159</v>
      </c>
      <c r="BR109" s="1">
        <v>5646.23</v>
      </c>
      <c r="BS109" s="3">
        <v>1100000</v>
      </c>
    </row>
    <row r="110" spans="1:71">
      <c r="A110" s="1" t="s">
        <v>80</v>
      </c>
      <c r="B110" s="1">
        <v>10</v>
      </c>
      <c r="C110" s="1">
        <v>112.205</v>
      </c>
      <c r="D110" s="1">
        <v>23.5376</v>
      </c>
      <c r="E110" s="1">
        <v>2011</v>
      </c>
      <c r="F110" s="1">
        <v>0.392727950406683</v>
      </c>
      <c r="G110" s="1">
        <v>7.26819060640827</v>
      </c>
      <c r="H110" s="1">
        <v>3.97480999352691</v>
      </c>
      <c r="I110" s="1">
        <v>3.8225358389266</v>
      </c>
      <c r="J110" s="1">
        <v>4.1396365514138</v>
      </c>
      <c r="K110" s="1">
        <v>4.1066024596176</v>
      </c>
      <c r="L110" s="1">
        <v>-0.4528304</v>
      </c>
      <c r="M110" s="1">
        <v>4.37927284647726</v>
      </c>
      <c r="N110" s="1">
        <v>0.6931472</v>
      </c>
      <c r="O110" s="1">
        <v>10.4235602896587</v>
      </c>
      <c r="P110" s="1">
        <v>52.24</v>
      </c>
      <c r="Q110" s="1">
        <v>44.72</v>
      </c>
      <c r="R110" s="1">
        <v>61.78</v>
      </c>
      <c r="S110" s="1">
        <v>59.74</v>
      </c>
      <c r="T110" s="1">
        <v>25.18</v>
      </c>
      <c r="U110" s="1">
        <v>78.78</v>
      </c>
      <c r="V110" s="1">
        <v>1</v>
      </c>
      <c r="W110" s="1">
        <v>33642</v>
      </c>
      <c r="X110" s="1">
        <v>0.278572692267177</v>
      </c>
      <c r="Y110" s="1">
        <v>11.16</v>
      </c>
      <c r="Z110" s="1">
        <v>0.443400000015101</v>
      </c>
      <c r="AA110" s="1">
        <v>5.54331048357327</v>
      </c>
      <c r="AB110" s="1">
        <f t="shared" si="3"/>
        <v>1.71259188250296</v>
      </c>
      <c r="AC110" s="1">
        <v>1.47347113916477</v>
      </c>
      <c r="AD110" s="1">
        <v>0.0137444366362146</v>
      </c>
      <c r="AE110" s="1">
        <v>0.880759463054783</v>
      </c>
      <c r="AF110" s="1">
        <v>2</v>
      </c>
      <c r="AG110" s="1">
        <v>0.330956</v>
      </c>
      <c r="AH110" s="2">
        <v>3.265</v>
      </c>
      <c r="AI110" s="1">
        <v>49.9722376457524</v>
      </c>
      <c r="AJ110" s="1">
        <v>0.435502355787597</v>
      </c>
      <c r="AK110" s="1">
        <v>0.464408070041873</v>
      </c>
      <c r="AL110" s="1">
        <v>0.668381759483454</v>
      </c>
      <c r="AM110" s="1">
        <v>0.679599654021994</v>
      </c>
      <c r="AN110" s="1">
        <v>191</v>
      </c>
      <c r="AO110" s="1">
        <v>0.05295125</v>
      </c>
      <c r="AP110" s="1">
        <v>0.05111312</v>
      </c>
      <c r="AQ110" s="1">
        <v>0.05756427</v>
      </c>
      <c r="AR110" s="1">
        <v>0.03267126</v>
      </c>
      <c r="AS110" s="1">
        <v>0.05096945</v>
      </c>
      <c r="AT110" s="1">
        <v>0.03540311</v>
      </c>
      <c r="AU110" s="1">
        <v>0.04939837</v>
      </c>
      <c r="AV110" s="1">
        <v>0.04297071</v>
      </c>
      <c r="AW110" s="1">
        <v>0.0583372</v>
      </c>
      <c r="AX110" s="1">
        <v>0.05751941</v>
      </c>
      <c r="AY110" s="1">
        <v>0.08365607</v>
      </c>
      <c r="AZ110" s="1">
        <v>346</v>
      </c>
      <c r="BA110" s="1">
        <v>58.675</v>
      </c>
      <c r="BB110" s="1">
        <f t="shared" si="4"/>
        <v>5.84643877505772</v>
      </c>
      <c r="BC110" s="1">
        <v>0.000882</v>
      </c>
      <c r="BD110" s="1">
        <v>426.9</v>
      </c>
      <c r="BE110" s="1">
        <v>0.869629621505737</v>
      </c>
      <c r="BF110" s="1">
        <v>-105.542221</v>
      </c>
      <c r="BG110" s="1">
        <v>1.915731</v>
      </c>
      <c r="BH110" s="1">
        <v>1169.413878</v>
      </c>
      <c r="BI110" s="1">
        <f t="shared" si="5"/>
        <v>7.06425794329557</v>
      </c>
      <c r="BJ110" s="1">
        <v>5.019958333</v>
      </c>
      <c r="BK110" s="1">
        <v>45704.61</v>
      </c>
      <c r="BL110" s="1">
        <v>49.9722376457524</v>
      </c>
      <c r="BM110" s="1">
        <v>215689</v>
      </c>
      <c r="BN110" s="1">
        <v>3760000</v>
      </c>
      <c r="BO110" s="1">
        <v>0.0574</v>
      </c>
      <c r="BP110" s="1">
        <v>0.999445</v>
      </c>
      <c r="BQ110" s="1">
        <v>49.972238</v>
      </c>
      <c r="BR110" s="1">
        <v>38378.7</v>
      </c>
      <c r="BS110" s="3">
        <v>1900000</v>
      </c>
    </row>
    <row r="111" spans="1:71">
      <c r="A111" s="1" t="s">
        <v>80</v>
      </c>
      <c r="B111" s="1">
        <v>10</v>
      </c>
      <c r="C111" s="1">
        <v>112.205</v>
      </c>
      <c r="D111" s="1">
        <v>23.5376</v>
      </c>
      <c r="E111" s="1">
        <v>2012</v>
      </c>
      <c r="F111" s="1">
        <v>0.426900845455934</v>
      </c>
      <c r="G111" s="1">
        <v>7.24323210892188</v>
      </c>
      <c r="H111" s="1">
        <v>4.52558570664524</v>
      </c>
      <c r="I111" s="1">
        <v>4.40513262338835</v>
      </c>
      <c r="J111" s="1">
        <v>4.59693638106098</v>
      </c>
      <c r="K111" s="1">
        <v>4.74066215542524</v>
      </c>
      <c r="L111" s="1">
        <v>-0.4528304</v>
      </c>
      <c r="M111" s="1">
        <v>2.4423470353692</v>
      </c>
      <c r="N111" s="1">
        <v>1.609438</v>
      </c>
      <c r="O111" s="1">
        <v>10.5150178704237</v>
      </c>
      <c r="P111" s="1">
        <v>91.35</v>
      </c>
      <c r="Q111" s="1">
        <v>80.87</v>
      </c>
      <c r="R111" s="1">
        <v>98.18</v>
      </c>
      <c r="S111" s="1">
        <v>113.51</v>
      </c>
      <c r="T111" s="1">
        <v>27.83</v>
      </c>
      <c r="U111" s="1">
        <v>10.5</v>
      </c>
      <c r="V111" s="1">
        <v>4</v>
      </c>
      <c r="W111" s="1">
        <v>36864</v>
      </c>
      <c r="X111" s="1">
        <v>0.274183389884848</v>
      </c>
      <c r="Y111" s="1">
        <v>7.43</v>
      </c>
      <c r="Z111" s="1">
        <v>0.457699999993162</v>
      </c>
      <c r="AA111" s="1">
        <v>5.58885781720385</v>
      </c>
      <c r="AB111" s="1">
        <f t="shared" si="3"/>
        <v>1.72077494020799</v>
      </c>
      <c r="AC111" s="1">
        <v>1.50504916640014</v>
      </c>
      <c r="AD111" s="1">
        <v>0.0148870439663237</v>
      </c>
      <c r="AE111" s="1">
        <v>0.890541976620616</v>
      </c>
      <c r="AF111" s="1">
        <v>1</v>
      </c>
      <c r="AG111" s="1">
        <v>0.35008</v>
      </c>
      <c r="AH111" s="2">
        <v>3.36142</v>
      </c>
      <c r="AI111" s="1">
        <v>49.9722376457524</v>
      </c>
      <c r="AJ111" s="1">
        <v>0.435502355787597</v>
      </c>
      <c r="AK111" s="1">
        <v>0.464408070041873</v>
      </c>
      <c r="AL111" s="1">
        <v>0.668381759483454</v>
      </c>
      <c r="AM111" s="1">
        <v>0.679599654021994</v>
      </c>
      <c r="AN111" s="1">
        <v>191</v>
      </c>
      <c r="AO111" s="1">
        <v>0.05295125</v>
      </c>
      <c r="AP111" s="1">
        <v>0.05111312</v>
      </c>
      <c r="AQ111" s="1">
        <v>0.05756427</v>
      </c>
      <c r="AR111" s="1">
        <v>0.03267126</v>
      </c>
      <c r="AS111" s="1">
        <v>0.05096945</v>
      </c>
      <c r="AT111" s="1">
        <v>0.03540311</v>
      </c>
      <c r="AU111" s="1">
        <v>0.04939837</v>
      </c>
      <c r="AV111" s="1">
        <v>0.04297071</v>
      </c>
      <c r="AW111" s="1">
        <v>0.0583372</v>
      </c>
      <c r="AX111" s="1">
        <v>0.05751941</v>
      </c>
      <c r="AY111" s="1">
        <v>0.08365607</v>
      </c>
      <c r="AZ111" s="1">
        <v>419</v>
      </c>
      <c r="BA111" s="1">
        <v>63.657</v>
      </c>
      <c r="BB111" s="1">
        <f t="shared" si="4"/>
        <v>6.03787091992214</v>
      </c>
      <c r="BC111" s="1">
        <v>0.00058</v>
      </c>
      <c r="BD111" s="1">
        <v>427.6</v>
      </c>
      <c r="BE111" s="1">
        <v>0.828273475170135</v>
      </c>
      <c r="BF111" s="1">
        <v>-75.28944</v>
      </c>
      <c r="BG111" s="1">
        <v>6.599095</v>
      </c>
      <c r="BH111" s="1">
        <v>1279.644652</v>
      </c>
      <c r="BI111" s="1">
        <f t="shared" si="5"/>
        <v>7.15433770274631</v>
      </c>
      <c r="BJ111" s="1">
        <v>5.019958333</v>
      </c>
      <c r="BK111" s="1">
        <v>51281.51</v>
      </c>
      <c r="BL111" s="1">
        <v>49.9722376457524</v>
      </c>
      <c r="BM111" s="1">
        <v>215689</v>
      </c>
      <c r="BN111" s="1">
        <v>3760000</v>
      </c>
      <c r="BO111" s="1">
        <v>0.0574</v>
      </c>
      <c r="BP111" s="1">
        <v>0.999445</v>
      </c>
      <c r="BQ111" s="1">
        <v>49.972238</v>
      </c>
      <c r="BR111" s="1">
        <v>38378.7</v>
      </c>
      <c r="BS111" s="3">
        <v>1900000</v>
      </c>
    </row>
    <row r="112" spans="1:71">
      <c r="A112" s="1" t="s">
        <v>80</v>
      </c>
      <c r="B112" s="1">
        <v>10</v>
      </c>
      <c r="C112" s="1">
        <v>112.205</v>
      </c>
      <c r="D112" s="1">
        <v>23.5376</v>
      </c>
      <c r="E112" s="1">
        <v>2013</v>
      </c>
      <c r="F112" s="1">
        <v>0.407614872359249</v>
      </c>
      <c r="G112" s="1">
        <v>7.2347863722208</v>
      </c>
      <c r="H112" s="1">
        <v>4.83976788734741</v>
      </c>
      <c r="I112" s="1">
        <v>4.72472942104573</v>
      </c>
      <c r="J112" s="1">
        <v>4.90215881776017</v>
      </c>
      <c r="K112" s="1">
        <v>5.05643686989686</v>
      </c>
      <c r="L112" s="1">
        <v>-0.4528304</v>
      </c>
      <c r="M112" s="1">
        <v>4.97050750300547</v>
      </c>
      <c r="N112" s="1">
        <v>1.609438</v>
      </c>
      <c r="O112" s="1">
        <v>10.6329666623434</v>
      </c>
      <c r="P112" s="1">
        <v>125.44</v>
      </c>
      <c r="Q112" s="1">
        <v>111.7</v>
      </c>
      <c r="R112" s="1">
        <v>133.58</v>
      </c>
      <c r="S112" s="1">
        <v>156.03</v>
      </c>
      <c r="T112" s="1">
        <v>41</v>
      </c>
      <c r="U112" s="1">
        <v>143.1</v>
      </c>
      <c r="V112" s="1">
        <v>4</v>
      </c>
      <c r="W112" s="1">
        <v>41479</v>
      </c>
      <c r="X112" s="1">
        <v>0.261763644781672</v>
      </c>
      <c r="Y112" s="1">
        <v>4.62</v>
      </c>
      <c r="Z112" s="1">
        <v>0.4765</v>
      </c>
      <c r="AA112" s="1">
        <v>5.59880242966756</v>
      </c>
      <c r="AB112" s="1">
        <f t="shared" si="3"/>
        <v>1.72255272302646</v>
      </c>
      <c r="AC112" s="1">
        <v>1.59380231700794</v>
      </c>
      <c r="AD112" s="1">
        <v>0.0155067473243369</v>
      </c>
      <c r="AE112" s="1">
        <v>0.729378869582584</v>
      </c>
      <c r="AF112" s="1">
        <v>1</v>
      </c>
      <c r="AG112" s="1">
        <v>0.33363</v>
      </c>
      <c r="AH112" s="2">
        <v>3.73767</v>
      </c>
      <c r="AI112" s="1">
        <v>49.9722376457524</v>
      </c>
      <c r="AJ112" s="1">
        <v>0.435502355787597</v>
      </c>
      <c r="AK112" s="1">
        <v>0.464408070041873</v>
      </c>
      <c r="AL112" s="1">
        <v>0.668381759483454</v>
      </c>
      <c r="AM112" s="1">
        <v>0.679599654021994</v>
      </c>
      <c r="AN112" s="1">
        <v>191</v>
      </c>
      <c r="AO112" s="1">
        <v>0.05295125</v>
      </c>
      <c r="AP112" s="1">
        <v>0.05111312</v>
      </c>
      <c r="AQ112" s="1">
        <v>0.05756427</v>
      </c>
      <c r="AR112" s="1">
        <v>0.03267126</v>
      </c>
      <c r="AS112" s="1">
        <v>0.05096945</v>
      </c>
      <c r="AT112" s="1">
        <v>0.03540311</v>
      </c>
      <c r="AU112" s="1">
        <v>0.04939837</v>
      </c>
      <c r="AV112" s="1">
        <v>0.04297071</v>
      </c>
      <c r="AW112" s="1">
        <v>0.0583372</v>
      </c>
      <c r="AX112" s="1">
        <v>0.05751941</v>
      </c>
      <c r="AY112" s="1">
        <v>0.08365607</v>
      </c>
      <c r="AZ112" s="1">
        <v>353</v>
      </c>
      <c r="BA112" s="1">
        <v>66.648</v>
      </c>
      <c r="BB112" s="1">
        <f t="shared" si="4"/>
        <v>5.8664680569333</v>
      </c>
      <c r="BC112" s="1">
        <v>0.000191</v>
      </c>
      <c r="BD112" s="1">
        <v>429.8</v>
      </c>
      <c r="BE112" s="1">
        <v>0.766845345497131</v>
      </c>
      <c r="BF112" s="1">
        <v>-69.494312</v>
      </c>
      <c r="BG112" s="1">
        <v>0.913242</v>
      </c>
      <c r="BH112" s="1">
        <v>1437.04459760918</v>
      </c>
      <c r="BI112" s="1">
        <f t="shared" si="5"/>
        <v>7.27034392081608</v>
      </c>
      <c r="BJ112" s="1">
        <v>5.019958333</v>
      </c>
      <c r="BK112" s="1">
        <v>56368.68</v>
      </c>
      <c r="BL112" s="1">
        <v>49.9722376457524</v>
      </c>
      <c r="BM112" s="1">
        <v>215689</v>
      </c>
      <c r="BN112" s="1">
        <v>3760000</v>
      </c>
      <c r="BO112" s="1">
        <v>0.0574</v>
      </c>
      <c r="BP112" s="1">
        <v>0.999445</v>
      </c>
      <c r="BQ112" s="1">
        <v>49.972238</v>
      </c>
      <c r="BR112" s="1">
        <v>38378.7</v>
      </c>
      <c r="BS112" s="3">
        <v>1900000</v>
      </c>
    </row>
    <row r="113" spans="1:71">
      <c r="A113" s="1" t="s">
        <v>80</v>
      </c>
      <c r="B113" s="1">
        <v>10</v>
      </c>
      <c r="C113" s="1">
        <v>112.205</v>
      </c>
      <c r="D113" s="1">
        <v>23.5376</v>
      </c>
      <c r="E113" s="1">
        <v>2014</v>
      </c>
      <c r="F113" s="1">
        <v>0.442965951770218</v>
      </c>
      <c r="G113" s="1">
        <v>7.24585219438345</v>
      </c>
      <c r="H113" s="1">
        <v>4.97334870931023</v>
      </c>
      <c r="I113" s="1">
        <v>4.98408595886271</v>
      </c>
      <c r="J113" s="1">
        <v>4.81543111147128</v>
      </c>
      <c r="K113" s="1">
        <v>5.18032180831032</v>
      </c>
      <c r="L113" s="1">
        <v>-0.4528304</v>
      </c>
      <c r="M113" s="1">
        <v>5.90468041702309</v>
      </c>
      <c r="N113" s="1">
        <v>1.7917595</v>
      </c>
      <c r="O113" s="1">
        <v>10.7319520300437</v>
      </c>
      <c r="P113" s="1">
        <v>143.51</v>
      </c>
      <c r="Q113" s="1">
        <v>145.07</v>
      </c>
      <c r="R113" s="1">
        <v>122.4</v>
      </c>
      <c r="S113" s="1">
        <v>176.74</v>
      </c>
      <c r="T113" s="1">
        <v>50.02</v>
      </c>
      <c r="U113" s="1">
        <v>365.75</v>
      </c>
      <c r="V113" s="1">
        <v>5</v>
      </c>
      <c r="W113" s="1">
        <v>45795</v>
      </c>
      <c r="X113" s="1">
        <v>0.261123634309409</v>
      </c>
      <c r="Y113" s="1">
        <v>5.68</v>
      </c>
      <c r="Z113" s="1">
        <v>0.50010000001626</v>
      </c>
      <c r="AA113" s="1">
        <v>5.60220282262372</v>
      </c>
      <c r="AB113" s="1">
        <f t="shared" si="3"/>
        <v>1.72315988157768</v>
      </c>
      <c r="AC113" s="1">
        <v>1.54561880675512</v>
      </c>
      <c r="AD113" s="1">
        <v>0.0174798247636615</v>
      </c>
      <c r="AE113" s="1">
        <v>1.05703487373304</v>
      </c>
      <c r="AF113" s="1">
        <v>1</v>
      </c>
      <c r="AG113" s="1">
        <v>0.383112</v>
      </c>
      <c r="AH113" s="2">
        <v>3.93222</v>
      </c>
      <c r="AI113" s="1">
        <v>49.9722376457524</v>
      </c>
      <c r="AJ113" s="1">
        <v>0.435502355787597</v>
      </c>
      <c r="AK113" s="1">
        <v>0.464408070041873</v>
      </c>
      <c r="AL113" s="1">
        <v>0.668381759483454</v>
      </c>
      <c r="AM113" s="1">
        <v>0.679599654021994</v>
      </c>
      <c r="AN113" s="1">
        <v>191</v>
      </c>
      <c r="AO113" s="1">
        <v>0.05295125</v>
      </c>
      <c r="AP113" s="1">
        <v>0.05111312</v>
      </c>
      <c r="AQ113" s="1">
        <v>0.05756427</v>
      </c>
      <c r="AR113" s="1">
        <v>0.03267126</v>
      </c>
      <c r="AS113" s="1">
        <v>0.05096945</v>
      </c>
      <c r="AT113" s="1">
        <v>0.03540311</v>
      </c>
      <c r="AU113" s="1">
        <v>0.04939837</v>
      </c>
      <c r="AV113" s="1">
        <v>0.04297071</v>
      </c>
      <c r="AW113" s="1">
        <v>0.0583372</v>
      </c>
      <c r="AX113" s="1">
        <v>0.05751941</v>
      </c>
      <c r="AY113" s="1">
        <v>0.08365607</v>
      </c>
      <c r="AZ113" s="1">
        <v>416</v>
      </c>
      <c r="BA113" s="1">
        <v>75.81</v>
      </c>
      <c r="BB113" s="1">
        <f t="shared" si="4"/>
        <v>6.03068526026126</v>
      </c>
      <c r="BC113" s="1">
        <v>0</v>
      </c>
      <c r="BD113" s="1">
        <v>399.01</v>
      </c>
      <c r="BE113" s="1">
        <v>0.704655826091766</v>
      </c>
      <c r="BF113" s="1">
        <v>-55.725298</v>
      </c>
      <c r="BG113" s="1">
        <v>1.936115</v>
      </c>
      <c r="BH113" s="1">
        <v>1580.49899751413</v>
      </c>
      <c r="BI113" s="1">
        <f t="shared" si="5"/>
        <v>7.36549589737147</v>
      </c>
      <c r="BJ113" s="1">
        <v>5.019958333</v>
      </c>
      <c r="BK113" s="1">
        <v>61723.71</v>
      </c>
      <c r="BL113" s="1">
        <v>49.9722376457524</v>
      </c>
      <c r="BM113" s="1">
        <v>215689</v>
      </c>
      <c r="BN113" s="1">
        <v>3760000</v>
      </c>
      <c r="BO113" s="1">
        <v>0.0574</v>
      </c>
      <c r="BP113" s="1">
        <v>0.999445</v>
      </c>
      <c r="BQ113" s="1">
        <v>49.972238</v>
      </c>
      <c r="BR113" s="1">
        <v>38378.7</v>
      </c>
      <c r="BS113" s="3">
        <v>1900000</v>
      </c>
    </row>
    <row r="114" spans="1:71">
      <c r="A114" s="1" t="s">
        <v>80</v>
      </c>
      <c r="B114" s="1">
        <v>10</v>
      </c>
      <c r="C114" s="1">
        <v>112.205</v>
      </c>
      <c r="D114" s="1">
        <v>23.5376</v>
      </c>
      <c r="E114" s="1">
        <v>2015</v>
      </c>
      <c r="F114" s="1">
        <v>0.398629962684705</v>
      </c>
      <c r="G114" s="1">
        <v>7.21825661234748</v>
      </c>
      <c r="H114" s="1">
        <v>5.14259879154861</v>
      </c>
      <c r="I114" s="1">
        <v>5.10527858491287</v>
      </c>
      <c r="J114" s="1">
        <v>4.96731016935788</v>
      </c>
      <c r="K114" s="1">
        <v>5.48856575615797</v>
      </c>
      <c r="L114" s="1">
        <v>-0.4528304</v>
      </c>
      <c r="M114" s="1">
        <v>4.40757254164162</v>
      </c>
      <c r="N114" s="1">
        <v>2.0794415</v>
      </c>
      <c r="O114" s="1">
        <v>10.7928386491543</v>
      </c>
      <c r="P114" s="1">
        <v>170.16</v>
      </c>
      <c r="Q114" s="1">
        <v>163.89</v>
      </c>
      <c r="R114" s="1">
        <v>142.64</v>
      </c>
      <c r="S114" s="1">
        <v>240.91</v>
      </c>
      <c r="T114" s="1">
        <v>57.23</v>
      </c>
      <c r="U114" s="1">
        <v>81.07</v>
      </c>
      <c r="V114" s="1">
        <v>7</v>
      </c>
      <c r="W114" s="1">
        <v>48670</v>
      </c>
      <c r="X114" s="1">
        <v>0.259572286435094</v>
      </c>
      <c r="Y114" s="1">
        <v>3.6</v>
      </c>
      <c r="Z114" s="1">
        <v>0.5027</v>
      </c>
      <c r="AA114" s="1">
        <v>5.59404235538451</v>
      </c>
      <c r="AB114" s="1">
        <f t="shared" si="3"/>
        <v>1.72170216632502</v>
      </c>
      <c r="AC114" s="1">
        <v>1.55660514413632</v>
      </c>
      <c r="AD114" s="1">
        <v>0.0185823807242111</v>
      </c>
      <c r="AE114" s="1">
        <v>1.14584460068505</v>
      </c>
      <c r="AF114" s="1">
        <v>5</v>
      </c>
      <c r="AG114" s="1">
        <v>0.39872</v>
      </c>
      <c r="AH114" s="2">
        <v>4.0644</v>
      </c>
      <c r="AI114" s="1">
        <v>49.9722376457524</v>
      </c>
      <c r="AJ114" s="1">
        <v>0.435502355787597</v>
      </c>
      <c r="AK114" s="1">
        <v>0.464408070041873</v>
      </c>
      <c r="AL114" s="1">
        <v>0.668381759483454</v>
      </c>
      <c r="AM114" s="1">
        <v>0.679599654021994</v>
      </c>
      <c r="AN114" s="1">
        <v>191</v>
      </c>
      <c r="AO114" s="1">
        <v>0.05295125</v>
      </c>
      <c r="AP114" s="1">
        <v>0.05111312</v>
      </c>
      <c r="AQ114" s="1">
        <v>0.05756427</v>
      </c>
      <c r="AR114" s="1">
        <v>0.03267126</v>
      </c>
      <c r="AS114" s="1">
        <v>0.05096945</v>
      </c>
      <c r="AT114" s="1">
        <v>0.03540311</v>
      </c>
      <c r="AU114" s="1">
        <v>0.04939837</v>
      </c>
      <c r="AV114" s="1">
        <v>0.04297071</v>
      </c>
      <c r="AW114" s="1">
        <v>0.0583372</v>
      </c>
      <c r="AX114" s="1">
        <v>0.05751941</v>
      </c>
      <c r="AY114" s="1">
        <v>0.08365607</v>
      </c>
      <c r="AZ114" s="1">
        <v>507</v>
      </c>
      <c r="BA114" s="1">
        <v>81.441</v>
      </c>
      <c r="BB114" s="1">
        <f t="shared" si="4"/>
        <v>6.22851100359118</v>
      </c>
      <c r="BC114" s="1">
        <v>0</v>
      </c>
      <c r="BD114" s="1">
        <v>400.3</v>
      </c>
      <c r="BE114" s="1">
        <v>0.790907979011536</v>
      </c>
      <c r="BF114" s="1">
        <v>-54.354086</v>
      </c>
      <c r="BG114" s="1">
        <v>1.723571</v>
      </c>
      <c r="BH114" s="1">
        <v>1691.8542984386</v>
      </c>
      <c r="BI114" s="1">
        <f t="shared" si="5"/>
        <v>7.43358042442439</v>
      </c>
      <c r="BJ114" s="1">
        <v>5.019958333</v>
      </c>
      <c r="BK114" s="1">
        <v>64838.98</v>
      </c>
      <c r="BL114" s="1">
        <v>49.9722376457524</v>
      </c>
      <c r="BM114" s="1">
        <v>215689</v>
      </c>
      <c r="BN114" s="1">
        <v>3760000</v>
      </c>
      <c r="BO114" s="1">
        <v>0.0574</v>
      </c>
      <c r="BP114" s="1">
        <v>0.999445</v>
      </c>
      <c r="BQ114" s="1">
        <v>49.972238</v>
      </c>
      <c r="BR114" s="1">
        <v>38378.7</v>
      </c>
      <c r="BS114" s="3">
        <v>1900000</v>
      </c>
    </row>
    <row r="115" spans="1:71">
      <c r="A115" s="1" t="s">
        <v>80</v>
      </c>
      <c r="B115" s="1">
        <v>10</v>
      </c>
      <c r="C115" s="1">
        <v>112.205</v>
      </c>
      <c r="D115" s="1">
        <v>23.5376</v>
      </c>
      <c r="E115" s="1">
        <v>2016</v>
      </c>
      <c r="F115" s="1">
        <v>0.351630124642966</v>
      </c>
      <c r="G115" s="1">
        <v>7.16687936743667</v>
      </c>
      <c r="H115" s="1">
        <v>5.26151582759176</v>
      </c>
      <c r="I115" s="1">
        <v>5.15638788505631</v>
      </c>
      <c r="J115" s="1">
        <v>5.27093136028972</v>
      </c>
      <c r="K115" s="1">
        <v>5.53335627038923</v>
      </c>
      <c r="L115" s="1">
        <v>-0.4528304</v>
      </c>
      <c r="M115" s="1">
        <v>5.31291036885093</v>
      </c>
      <c r="N115" s="1">
        <v>3.0445225</v>
      </c>
      <c r="O115" s="1">
        <v>10.8430845706405</v>
      </c>
      <c r="P115" s="1">
        <v>191.773481298972</v>
      </c>
      <c r="Q115" s="1">
        <v>172.536488408107</v>
      </c>
      <c r="R115" s="1">
        <v>193.597118070325</v>
      </c>
      <c r="S115" s="1">
        <v>251.991595930177</v>
      </c>
      <c r="T115" s="1">
        <v>50.69</v>
      </c>
      <c r="U115" s="1">
        <v>201.94</v>
      </c>
      <c r="V115" s="1">
        <v>20</v>
      </c>
      <c r="W115" s="1">
        <v>51178</v>
      </c>
      <c r="X115" s="1">
        <v>0.221307963123177</v>
      </c>
      <c r="Y115" s="1">
        <v>9.68</v>
      </c>
      <c r="Z115" s="1">
        <v>0.4796</v>
      </c>
      <c r="AA115" s="1">
        <v>5.5976580940036</v>
      </c>
      <c r="AB115" s="1">
        <f t="shared" si="3"/>
        <v>1.72234831277278</v>
      </c>
      <c r="AC115" s="1">
        <v>1.58648649556458</v>
      </c>
      <c r="AD115" s="1">
        <v>0.0194945945945946</v>
      </c>
      <c r="AE115" s="1">
        <v>0.985306315914208</v>
      </c>
      <c r="AF115" s="1">
        <v>5</v>
      </c>
      <c r="AG115" s="1">
        <v>0.410472</v>
      </c>
      <c r="AH115" s="2">
        <v>3.94526</v>
      </c>
      <c r="AI115" s="1">
        <v>49.9722376457524</v>
      </c>
      <c r="AJ115" s="1">
        <v>0.435502355787597</v>
      </c>
      <c r="AK115" s="1">
        <v>0.464408070041873</v>
      </c>
      <c r="AL115" s="1">
        <v>0.668381759483454</v>
      </c>
      <c r="AM115" s="1">
        <v>0.679599654021994</v>
      </c>
      <c r="AN115" s="1">
        <v>191</v>
      </c>
      <c r="AO115" s="1">
        <v>0.05295125</v>
      </c>
      <c r="AP115" s="1">
        <v>0.05111312</v>
      </c>
      <c r="AQ115" s="1">
        <v>0.05756427</v>
      </c>
      <c r="AR115" s="1">
        <v>0.03267126</v>
      </c>
      <c r="AS115" s="1">
        <v>0.05096945</v>
      </c>
      <c r="AT115" s="1">
        <v>0.03540311</v>
      </c>
      <c r="AU115" s="1">
        <v>0.04939837</v>
      </c>
      <c r="AV115" s="1">
        <v>0.04297071</v>
      </c>
      <c r="AW115" s="1">
        <v>0.0583372</v>
      </c>
      <c r="AX115" s="1">
        <v>0.05751941</v>
      </c>
      <c r="AY115" s="1">
        <v>0.08365607</v>
      </c>
      <c r="AZ115" s="1">
        <v>812</v>
      </c>
      <c r="BA115" s="1">
        <v>86.556</v>
      </c>
      <c r="BB115" s="1">
        <f t="shared" si="4"/>
        <v>6.69950034016168</v>
      </c>
      <c r="BC115" s="1">
        <v>0.000251</v>
      </c>
      <c r="BD115" s="1">
        <v>401.75</v>
      </c>
      <c r="BE115" s="1">
        <v>0.86704808473587</v>
      </c>
      <c r="BF115" s="1">
        <v>-38.13763</v>
      </c>
      <c r="BG115" s="1">
        <v>1.585458</v>
      </c>
      <c r="BH115" s="1">
        <v>1810.6681148407</v>
      </c>
      <c r="BI115" s="1">
        <f t="shared" si="5"/>
        <v>7.50145118037167</v>
      </c>
      <c r="BJ115" s="1">
        <v>5.019958333</v>
      </c>
      <c r="BK115" s="1">
        <v>68787.78</v>
      </c>
      <c r="BL115" s="1">
        <v>49.9722376457524</v>
      </c>
      <c r="BM115" s="1">
        <v>215689</v>
      </c>
      <c r="BN115" s="1">
        <v>3760000</v>
      </c>
      <c r="BO115" s="1">
        <v>0.0574</v>
      </c>
      <c r="BP115" s="1">
        <v>0.999445</v>
      </c>
      <c r="BQ115" s="1">
        <v>49.972238</v>
      </c>
      <c r="BR115" s="1">
        <v>38378.7</v>
      </c>
      <c r="BS115" s="3">
        <v>1900000</v>
      </c>
    </row>
    <row r="116" spans="1:71">
      <c r="A116" s="1" t="s">
        <v>80</v>
      </c>
      <c r="B116" s="1">
        <v>10</v>
      </c>
      <c r="C116" s="1">
        <v>112.205</v>
      </c>
      <c r="D116" s="1">
        <v>23.5376</v>
      </c>
      <c r="E116" s="1">
        <v>2017</v>
      </c>
      <c r="F116" s="1">
        <v>0.304106279414021</v>
      </c>
      <c r="G116" s="1">
        <v>7.21851008345761</v>
      </c>
      <c r="H116" s="1">
        <v>5.40460136181727</v>
      </c>
      <c r="I116" s="1">
        <v>5.27993173540844</v>
      </c>
      <c r="J116" s="1">
        <v>5.506073071496</v>
      </c>
      <c r="K116" s="1">
        <v>5.5810903336607</v>
      </c>
      <c r="L116" s="1">
        <v>-0.4528304</v>
      </c>
      <c r="M116" s="1">
        <v>7.41153211833479</v>
      </c>
      <c r="N116" s="1">
        <v>2.7080503</v>
      </c>
      <c r="O116" s="1">
        <v>10.8486482999781</v>
      </c>
      <c r="P116" s="1">
        <v>221.427534682781</v>
      </c>
      <c r="Q116" s="1">
        <v>195.356470730251</v>
      </c>
      <c r="R116" s="1">
        <v>245.182485408142</v>
      </c>
      <c r="S116" s="1">
        <v>264.360779863105</v>
      </c>
      <c r="T116" s="1">
        <v>54.48</v>
      </c>
      <c r="U116" s="1">
        <v>1653.96</v>
      </c>
      <c r="V116" s="1">
        <v>14</v>
      </c>
      <c r="W116" s="1">
        <v>51463.5397</v>
      </c>
      <c r="X116" s="1">
        <v>0.169625182422545</v>
      </c>
      <c r="Y116" s="1">
        <v>11.31</v>
      </c>
      <c r="Z116" s="4">
        <v>0.4</v>
      </c>
      <c r="AA116" s="1">
        <v>5.6029458935221</v>
      </c>
      <c r="AB116" s="1">
        <f t="shared" si="3"/>
        <v>1.7232925118387</v>
      </c>
      <c r="AC116" s="1">
        <v>1.76951055710718</v>
      </c>
      <c r="AD116" s="1">
        <v>0.019847533632287</v>
      </c>
      <c r="AE116" s="1">
        <v>1.29669179229481</v>
      </c>
      <c r="AF116" s="1">
        <v>37</v>
      </c>
      <c r="AG116" s="1">
        <v>0.396936</v>
      </c>
      <c r="AH116" s="2">
        <v>4.01602</v>
      </c>
      <c r="AI116" s="1">
        <v>49.9722376457524</v>
      </c>
      <c r="AJ116" s="1">
        <v>0.435502355787597</v>
      </c>
      <c r="AK116" s="1">
        <v>0.464408070041873</v>
      </c>
      <c r="AL116" s="1">
        <v>0.668381759483454</v>
      </c>
      <c r="AM116" s="1">
        <v>0.679599654021994</v>
      </c>
      <c r="AN116" s="1">
        <v>191</v>
      </c>
      <c r="AO116" s="1">
        <v>0.05295125</v>
      </c>
      <c r="AP116" s="1">
        <v>0.05111312</v>
      </c>
      <c r="AQ116" s="1">
        <v>0.05756427</v>
      </c>
      <c r="AR116" s="1">
        <v>0.03267126</v>
      </c>
      <c r="AS116" s="1">
        <v>0.05096945</v>
      </c>
      <c r="AT116" s="1">
        <v>0.03540311</v>
      </c>
      <c r="AU116" s="1">
        <v>0.04939837</v>
      </c>
      <c r="AV116" s="1">
        <v>0.04297071</v>
      </c>
      <c r="AW116" s="1">
        <v>0.0583372</v>
      </c>
      <c r="AX116" s="1">
        <v>0.05751941</v>
      </c>
      <c r="AY116" s="1">
        <v>0.08365607</v>
      </c>
      <c r="AZ116" s="1">
        <v>1444</v>
      </c>
      <c r="BA116" s="1">
        <v>88.52</v>
      </c>
      <c r="BB116" s="1">
        <f t="shared" si="4"/>
        <v>7.27517231945277</v>
      </c>
      <c r="BC116" s="1">
        <v>0.000356</v>
      </c>
      <c r="BD116" s="1">
        <v>403.88</v>
      </c>
      <c r="BE116" s="1">
        <v>0.964618265628815</v>
      </c>
      <c r="BF116" s="1">
        <v>58.50334</v>
      </c>
      <c r="BG116" s="1">
        <v>1.573313</v>
      </c>
      <c r="BH116" s="1">
        <v>1964.96636262685</v>
      </c>
      <c r="BI116" s="1">
        <f t="shared" si="5"/>
        <v>7.58323040590079</v>
      </c>
      <c r="BJ116" s="1">
        <v>5.019958333</v>
      </c>
      <c r="BK116" s="1">
        <v>73084.4</v>
      </c>
      <c r="BL116" s="1">
        <v>49.9722376457524</v>
      </c>
      <c r="BM116" s="1">
        <v>215689</v>
      </c>
      <c r="BN116" s="1">
        <v>3760000</v>
      </c>
      <c r="BO116" s="1">
        <v>0.0574</v>
      </c>
      <c r="BP116" s="1">
        <v>0.999445</v>
      </c>
      <c r="BQ116" s="1">
        <v>49.972238</v>
      </c>
      <c r="BR116" s="1">
        <v>38378.7</v>
      </c>
      <c r="BS116" s="3">
        <v>1900000</v>
      </c>
    </row>
    <row r="117" spans="1:71">
      <c r="A117" s="1" t="s">
        <v>80</v>
      </c>
      <c r="B117" s="1">
        <v>10</v>
      </c>
      <c r="C117" s="1">
        <v>112.205</v>
      </c>
      <c r="D117" s="1">
        <v>23.5376</v>
      </c>
      <c r="E117" s="1">
        <v>2018</v>
      </c>
      <c r="F117" s="1">
        <v>0.307757345692866</v>
      </c>
      <c r="G117" s="1">
        <v>7.32134253562486</v>
      </c>
      <c r="H117" s="1">
        <v>5.45753134919547</v>
      </c>
      <c r="I117" s="1">
        <v>5.37756903681858</v>
      </c>
      <c r="J117" s="1">
        <v>5.4794667624631</v>
      </c>
      <c r="K117" s="1">
        <v>5.65105166227141</v>
      </c>
      <c r="L117" s="1">
        <v>-0.4528304</v>
      </c>
      <c r="M117" s="1">
        <v>5.6364311122985</v>
      </c>
      <c r="N117" s="1">
        <v>2.5649493</v>
      </c>
      <c r="O117" s="1">
        <v>10.883091054622</v>
      </c>
      <c r="P117" s="1">
        <v>233.517766726657</v>
      </c>
      <c r="Q117" s="1">
        <v>215.495343005931</v>
      </c>
      <c r="R117" s="1">
        <v>238.7188461649</v>
      </c>
      <c r="S117" s="1">
        <v>283.590601701733</v>
      </c>
      <c r="T117" s="1">
        <v>60.13</v>
      </c>
      <c r="U117" s="1">
        <v>279.46</v>
      </c>
      <c r="V117" s="1">
        <v>12</v>
      </c>
      <c r="W117" s="1">
        <v>53267</v>
      </c>
      <c r="X117" s="1">
        <v>0.17708229062642</v>
      </c>
      <c r="Y117" s="1">
        <v>8.87</v>
      </c>
      <c r="Z117" s="1">
        <v>0.351800000018167</v>
      </c>
      <c r="AA117" s="1">
        <v>5.60900459163555</v>
      </c>
      <c r="AB117" s="1">
        <f t="shared" si="3"/>
        <v>1.72437326914515</v>
      </c>
      <c r="AC117" s="1">
        <v>1.94973683364329</v>
      </c>
      <c r="AD117" s="1">
        <v>0.0215988888888889</v>
      </c>
      <c r="AE117" s="1">
        <v>0.845050026329647</v>
      </c>
      <c r="AF117" s="1">
        <v>42</v>
      </c>
      <c r="AG117" s="1">
        <v>0.396264</v>
      </c>
      <c r="AH117" s="2">
        <v>4.113</v>
      </c>
      <c r="AI117" s="1">
        <v>49.9722376457524</v>
      </c>
      <c r="AJ117" s="1">
        <v>0.435502355787597</v>
      </c>
      <c r="AK117" s="1">
        <v>0.464408070041873</v>
      </c>
      <c r="AL117" s="1">
        <v>0.668381759483454</v>
      </c>
      <c r="AM117" s="1">
        <v>0.679599654021994</v>
      </c>
      <c r="AN117" s="1">
        <v>191</v>
      </c>
      <c r="AO117" s="1">
        <v>0.05295125</v>
      </c>
      <c r="AP117" s="1">
        <v>0.05111312</v>
      </c>
      <c r="AQ117" s="1">
        <v>0.05756427</v>
      </c>
      <c r="AR117" s="1">
        <v>0.03267126</v>
      </c>
      <c r="AS117" s="1">
        <v>0.05096945</v>
      </c>
      <c r="AT117" s="1">
        <v>0.03540311</v>
      </c>
      <c r="AU117" s="1">
        <v>0.04939837</v>
      </c>
      <c r="AV117" s="1">
        <v>0.04297071</v>
      </c>
      <c r="AW117" s="1">
        <v>0.0583372</v>
      </c>
      <c r="AX117" s="1">
        <v>0.05751941</v>
      </c>
      <c r="AY117" s="1">
        <v>0.08365607</v>
      </c>
      <c r="AZ117" s="1">
        <v>1815</v>
      </c>
      <c r="BA117" s="1">
        <v>97.195</v>
      </c>
      <c r="BB117" s="1">
        <f t="shared" si="4"/>
        <v>7.50384074669895</v>
      </c>
      <c r="BC117" s="1">
        <v>0.00124</v>
      </c>
      <c r="BD117" s="1">
        <v>406.58</v>
      </c>
      <c r="BE117" s="1">
        <v>1.02252590656281</v>
      </c>
      <c r="BF117" s="1">
        <v>-16.9252</v>
      </c>
      <c r="BG117" s="1">
        <v>0.7905983</v>
      </c>
      <c r="BH117" s="1">
        <v>2102.2941</v>
      </c>
      <c r="BI117" s="1">
        <f t="shared" si="5"/>
        <v>7.65078445601706</v>
      </c>
      <c r="BJ117" s="1">
        <v>5.019958333</v>
      </c>
      <c r="BK117" s="1">
        <v>77155.13</v>
      </c>
      <c r="BL117" s="1">
        <v>49.9722376457524</v>
      </c>
      <c r="BM117" s="1">
        <v>215689</v>
      </c>
      <c r="BN117" s="1">
        <v>3760000</v>
      </c>
      <c r="BO117" s="1">
        <v>0.0574</v>
      </c>
      <c r="BP117" s="1">
        <v>0.999445</v>
      </c>
      <c r="BQ117" s="1">
        <v>49.972238</v>
      </c>
      <c r="BR117" s="1">
        <v>38378.7</v>
      </c>
      <c r="BS117" s="3">
        <v>1900000</v>
      </c>
    </row>
    <row r="118" spans="1:71">
      <c r="A118" s="1" t="s">
        <v>80</v>
      </c>
      <c r="B118" s="1">
        <v>10</v>
      </c>
      <c r="C118" s="1">
        <v>112.205</v>
      </c>
      <c r="D118" s="1">
        <v>23.5376</v>
      </c>
      <c r="E118" s="1">
        <v>2019</v>
      </c>
      <c r="F118" s="1">
        <v>0.30255874625923</v>
      </c>
      <c r="G118" s="1">
        <v>7.30744139818738</v>
      </c>
      <c r="H118" s="1">
        <v>5.50448396302276</v>
      </c>
      <c r="I118" s="1">
        <v>5.44132646944732</v>
      </c>
      <c r="J118" s="1">
        <v>5.5215149348033</v>
      </c>
      <c r="K118" s="1">
        <v>5.66229403067727</v>
      </c>
      <c r="L118" s="1">
        <v>-0.4528304</v>
      </c>
      <c r="M118" s="1">
        <v>5.94777385848324</v>
      </c>
      <c r="N118" s="1">
        <v>3.3322046</v>
      </c>
      <c r="O118" s="1">
        <v>10.8955698938795</v>
      </c>
      <c r="P118" s="1">
        <v>244.791585429791</v>
      </c>
      <c r="Q118" s="1">
        <v>229.748060773875</v>
      </c>
      <c r="R118" s="1">
        <v>249.013504591355</v>
      </c>
      <c r="S118" s="1">
        <v>286.808126497071</v>
      </c>
      <c r="T118" s="1">
        <v>67.41</v>
      </c>
      <c r="U118" s="1">
        <v>381.9</v>
      </c>
      <c r="V118" s="1">
        <v>27</v>
      </c>
      <c r="W118" s="1">
        <v>53935.8876</v>
      </c>
      <c r="X118" s="1">
        <v>0.17984235079028</v>
      </c>
      <c r="Y118" s="1">
        <v>9.14</v>
      </c>
      <c r="Z118" s="1">
        <v>0.4115</v>
      </c>
      <c r="AA118" s="1">
        <v>5.61612987039672</v>
      </c>
      <c r="AB118" s="1">
        <f t="shared" si="3"/>
        <v>1.72564279152677</v>
      </c>
      <c r="AC118" s="1">
        <v>2.12226376086584</v>
      </c>
      <c r="AD118" s="1">
        <v>0.0251345814977974</v>
      </c>
      <c r="AE118" s="1">
        <v>0.842234579076684</v>
      </c>
      <c r="AF118" s="1">
        <v>12</v>
      </c>
      <c r="AG118" s="1">
        <v>0.392574</v>
      </c>
      <c r="AH118" s="2">
        <v>4.22552</v>
      </c>
      <c r="AI118" s="1">
        <v>49.9722376457524</v>
      </c>
      <c r="AJ118" s="1">
        <v>0.435502355787597</v>
      </c>
      <c r="AK118" s="1">
        <v>0.464408070041873</v>
      </c>
      <c r="AL118" s="1">
        <v>0.668381759483454</v>
      </c>
      <c r="AM118" s="1">
        <v>0.679599654021994</v>
      </c>
      <c r="AN118" s="1">
        <v>191</v>
      </c>
      <c r="AO118" s="1">
        <v>0.05295125</v>
      </c>
      <c r="AP118" s="1">
        <v>0.05111312</v>
      </c>
      <c r="AQ118" s="1">
        <v>0.05756427</v>
      </c>
      <c r="AR118" s="1">
        <v>0.03267126</v>
      </c>
      <c r="AS118" s="1">
        <v>0.05096945</v>
      </c>
      <c r="AT118" s="1">
        <v>0.03540311</v>
      </c>
      <c r="AU118" s="1">
        <v>0.04939837</v>
      </c>
      <c r="AV118" s="1">
        <v>0.04297071</v>
      </c>
      <c r="AW118" s="1">
        <v>0.0583372</v>
      </c>
      <c r="AX118" s="1">
        <v>0.05751941</v>
      </c>
      <c r="AY118" s="1">
        <v>0.08365607</v>
      </c>
      <c r="AZ118" s="1">
        <v>1828</v>
      </c>
      <c r="BA118" s="1">
        <v>114.111</v>
      </c>
      <c r="BB118" s="1">
        <f t="shared" si="4"/>
        <v>7.5109777520141</v>
      </c>
      <c r="BC118" s="1">
        <v>0.00112</v>
      </c>
      <c r="BD118" s="1">
        <v>409.24</v>
      </c>
      <c r="BE118" s="1">
        <v>1.09566736221313</v>
      </c>
      <c r="BF118" s="1">
        <v>-23.283629</v>
      </c>
      <c r="BG118" s="1">
        <v>1.336394</v>
      </c>
      <c r="BH118" s="1">
        <v>2250.67365758106</v>
      </c>
      <c r="BI118" s="1">
        <f t="shared" si="5"/>
        <v>7.71898485375558</v>
      </c>
      <c r="BJ118" s="1">
        <v>5.019958333</v>
      </c>
      <c r="BK118" s="1">
        <v>82805</v>
      </c>
      <c r="BL118" s="1">
        <v>49.9722376457524</v>
      </c>
      <c r="BM118" s="1">
        <v>215689</v>
      </c>
      <c r="BN118" s="1">
        <v>3760000</v>
      </c>
      <c r="BO118" s="1">
        <v>0.0574</v>
      </c>
      <c r="BP118" s="1">
        <v>0.999445</v>
      </c>
      <c r="BQ118" s="1">
        <v>49.972238</v>
      </c>
      <c r="BR118" s="1">
        <v>38378.7</v>
      </c>
      <c r="BS118" s="3">
        <v>1900000</v>
      </c>
    </row>
    <row r="119" spans="1:71">
      <c r="A119" s="1" t="s">
        <v>80</v>
      </c>
      <c r="B119" s="1">
        <v>10</v>
      </c>
      <c r="C119" s="1">
        <v>112.205</v>
      </c>
      <c r="D119" s="1">
        <v>23.5376</v>
      </c>
      <c r="E119" s="1">
        <v>2020</v>
      </c>
      <c r="F119" s="1">
        <v>0.319754684433875</v>
      </c>
      <c r="G119" s="1">
        <v>7.36210149442586</v>
      </c>
      <c r="H119" s="1">
        <v>5.54618404901131</v>
      </c>
      <c r="I119" s="1">
        <v>5.50421279207907</v>
      </c>
      <c r="J119" s="1">
        <v>5.55888795256647</v>
      </c>
      <c r="K119" s="1">
        <v>5.65283778756824</v>
      </c>
      <c r="L119" s="1">
        <v>-0.4528304</v>
      </c>
      <c r="M119" s="1">
        <v>3.3357695763397</v>
      </c>
      <c r="N119" s="1">
        <v>2.7080503</v>
      </c>
      <c r="O119" s="1">
        <v>10.9387838968594</v>
      </c>
      <c r="P119" s="1">
        <v>255.257820486669</v>
      </c>
      <c r="Q119" s="1">
        <v>244.724942880417</v>
      </c>
      <c r="R119" s="1">
        <v>258.534061636751</v>
      </c>
      <c r="S119" s="1">
        <v>284.099370427838</v>
      </c>
      <c r="T119" s="1">
        <v>68.03</v>
      </c>
      <c r="U119" s="1">
        <v>27.1</v>
      </c>
      <c r="V119" s="1">
        <v>14</v>
      </c>
      <c r="W119" s="1">
        <v>56317.812</v>
      </c>
      <c r="X119" s="1">
        <v>0.178724790021115</v>
      </c>
      <c r="Y119" s="1">
        <v>9.54</v>
      </c>
      <c r="Z119" s="1">
        <v>0.3903</v>
      </c>
      <c r="AA119" s="1">
        <v>5.62270330296863</v>
      </c>
      <c r="AB119" s="1">
        <f t="shared" si="3"/>
        <v>1.72681256301818</v>
      </c>
      <c r="AC119" s="1">
        <v>2.30910932805502</v>
      </c>
      <c r="AD119" s="1">
        <v>0.0319032894736842</v>
      </c>
      <c r="AE119" s="1">
        <v>0.799290951575216</v>
      </c>
      <c r="AF119" s="1">
        <v>9</v>
      </c>
      <c r="AG119" s="1">
        <v>0.43016</v>
      </c>
      <c r="AH119" s="2">
        <v>4.23454</v>
      </c>
      <c r="AI119" s="1">
        <v>49.9722376457524</v>
      </c>
      <c r="AJ119" s="1">
        <v>0.435502355787597</v>
      </c>
      <c r="AK119" s="1">
        <v>0.464408070041873</v>
      </c>
      <c r="AL119" s="1">
        <v>0.668381759483454</v>
      </c>
      <c r="AM119" s="1">
        <v>0.679599654021994</v>
      </c>
      <c r="AN119" s="1">
        <v>191</v>
      </c>
      <c r="AO119" s="1">
        <v>0.05295125</v>
      </c>
      <c r="AP119" s="1">
        <v>0.05111312</v>
      </c>
      <c r="AQ119" s="1">
        <v>0.05756427</v>
      </c>
      <c r="AR119" s="1">
        <v>0.03267126</v>
      </c>
      <c r="AS119" s="1">
        <v>0.05096945</v>
      </c>
      <c r="AT119" s="1">
        <v>0.03540311</v>
      </c>
      <c r="AU119" s="1">
        <v>0.04939837</v>
      </c>
      <c r="AV119" s="1">
        <v>0.04297071</v>
      </c>
      <c r="AW119" s="1">
        <v>0.0583372</v>
      </c>
      <c r="AX119" s="1">
        <v>0.05751941</v>
      </c>
      <c r="AY119" s="1">
        <v>0.08365607</v>
      </c>
      <c r="AZ119" s="1">
        <v>1960</v>
      </c>
      <c r="BA119" s="1">
        <v>104.4</v>
      </c>
      <c r="BB119" s="1">
        <f t="shared" si="4"/>
        <v>7.58069975222456</v>
      </c>
      <c r="BC119" s="1">
        <v>0.000431</v>
      </c>
      <c r="BD119" s="1">
        <v>411.69</v>
      </c>
      <c r="BE119" s="1">
        <v>1.07759118080139</v>
      </c>
      <c r="BF119" s="1">
        <v>17.97557</v>
      </c>
      <c r="BG119" s="1">
        <v>0.516881</v>
      </c>
      <c r="BH119" s="1">
        <v>2311.6491</v>
      </c>
      <c r="BI119" s="1">
        <f t="shared" si="5"/>
        <v>7.74571644491713</v>
      </c>
      <c r="BJ119" s="1">
        <v>5.019958333</v>
      </c>
      <c r="BK119" s="1">
        <v>85352.58</v>
      </c>
      <c r="BL119" s="1">
        <v>49.9722376457524</v>
      </c>
      <c r="BM119" s="1">
        <v>215689</v>
      </c>
      <c r="BN119" s="1">
        <v>3760000</v>
      </c>
      <c r="BO119" s="1">
        <v>0.0574</v>
      </c>
      <c r="BP119" s="1">
        <v>0.999445</v>
      </c>
      <c r="BQ119" s="1">
        <v>49.972238</v>
      </c>
      <c r="BR119" s="1">
        <v>38378.7</v>
      </c>
      <c r="BS119" s="3">
        <v>1900000</v>
      </c>
    </row>
    <row r="120" spans="1:71">
      <c r="A120" s="1" t="s">
        <v>80</v>
      </c>
      <c r="B120" s="1">
        <v>10</v>
      </c>
      <c r="C120" s="1">
        <v>112.205</v>
      </c>
      <c r="D120" s="1">
        <v>23.5376</v>
      </c>
      <c r="E120" s="1">
        <v>2021</v>
      </c>
      <c r="F120" s="1">
        <v>0.343008402854654</v>
      </c>
      <c r="G120" s="1">
        <v>7.51935140563609</v>
      </c>
      <c r="H120" s="1">
        <v>5.65993637219685</v>
      </c>
      <c r="I120" s="1">
        <v>5.65783757313528</v>
      </c>
      <c r="J120" s="1">
        <v>5.64626524539087</v>
      </c>
      <c r="K120" s="1">
        <v>5.69110307439173</v>
      </c>
      <c r="L120" s="1">
        <v>-0.4528304</v>
      </c>
      <c r="M120" s="1">
        <v>3.4436180975461</v>
      </c>
      <c r="N120" s="1">
        <v>3.583519</v>
      </c>
      <c r="O120" s="1">
        <v>10.6533427444089</v>
      </c>
      <c r="P120" s="1">
        <v>286.13037252578</v>
      </c>
      <c r="Q120" s="1">
        <v>285.528375491917</v>
      </c>
      <c r="R120" s="1">
        <v>282.231687169904</v>
      </c>
      <c r="S120" s="1">
        <v>295.220193395007</v>
      </c>
      <c r="T120" s="1">
        <v>81.57</v>
      </c>
      <c r="U120" s="1">
        <v>30.3</v>
      </c>
      <c r="V120" s="1">
        <v>35</v>
      </c>
      <c r="W120" s="1">
        <v>42332.8696</v>
      </c>
      <c r="X120" s="1">
        <v>0.152999815199052</v>
      </c>
      <c r="Y120" s="1">
        <v>5.69</v>
      </c>
      <c r="Z120" s="1">
        <v>0.4155</v>
      </c>
      <c r="AA120" s="1">
        <v>5.62641255548108</v>
      </c>
      <c r="AB120" s="1">
        <f t="shared" si="3"/>
        <v>1.7274720375393</v>
      </c>
      <c r="AC120" s="1">
        <v>2.12983968521499</v>
      </c>
      <c r="AD120" s="1">
        <v>0.0259048034934498</v>
      </c>
      <c r="AE120" s="1">
        <v>0.825671160271921</v>
      </c>
      <c r="AF120" s="1">
        <v>5</v>
      </c>
      <c r="AG120" s="1">
        <v>0.472812</v>
      </c>
      <c r="AH120" s="2">
        <v>4.41365</v>
      </c>
      <c r="AI120" s="1">
        <v>49.9722376457524</v>
      </c>
      <c r="AJ120" s="1">
        <v>0.435502355787597</v>
      </c>
      <c r="AK120" s="1">
        <v>0.464408070041873</v>
      </c>
      <c r="AL120" s="1">
        <v>0.668381759483454</v>
      </c>
      <c r="AM120" s="1">
        <v>0.679599654021994</v>
      </c>
      <c r="AN120" s="1">
        <v>191</v>
      </c>
      <c r="AO120" s="1">
        <v>0.05295125</v>
      </c>
      <c r="AP120" s="1">
        <v>0.05111312</v>
      </c>
      <c r="AQ120" s="1">
        <v>0.05756427</v>
      </c>
      <c r="AR120" s="1">
        <v>0.03267126</v>
      </c>
      <c r="AS120" s="1">
        <v>0.05096945</v>
      </c>
      <c r="AT120" s="1">
        <v>0.03540311</v>
      </c>
      <c r="AU120" s="1">
        <v>0.04939837</v>
      </c>
      <c r="AV120" s="1">
        <v>0.04297071</v>
      </c>
      <c r="AW120" s="1">
        <v>0.0583372</v>
      </c>
      <c r="AX120" s="1">
        <v>0.05751941</v>
      </c>
      <c r="AY120" s="1">
        <v>0.08365607</v>
      </c>
      <c r="AZ120" s="1">
        <v>1682</v>
      </c>
      <c r="BA120" s="1">
        <v>116.4</v>
      </c>
      <c r="BB120" s="1">
        <f t="shared" si="4"/>
        <v>7.42773884053289</v>
      </c>
      <c r="BC120" s="1">
        <v>0.000447</v>
      </c>
      <c r="BD120" s="1">
        <v>412.97</v>
      </c>
      <c r="BE120" s="1">
        <v>0.989620864391327</v>
      </c>
      <c r="BF120" s="1">
        <v>3586.965569</v>
      </c>
      <c r="BG120" s="1">
        <v>0.064117</v>
      </c>
      <c r="BH120" s="1">
        <v>2649.9864</v>
      </c>
      <c r="BI120" s="1">
        <f t="shared" si="5"/>
        <v>7.88230978689163</v>
      </c>
      <c r="BJ120" s="1">
        <v>5.019958333</v>
      </c>
      <c r="BK120" s="1">
        <v>98844.09</v>
      </c>
      <c r="BL120" s="1">
        <v>49.9722376457524</v>
      </c>
      <c r="BM120" s="1">
        <v>215689</v>
      </c>
      <c r="BN120" s="1">
        <v>3760000</v>
      </c>
      <c r="BO120" s="1">
        <v>0.0574</v>
      </c>
      <c r="BP120" s="1">
        <v>0.999445</v>
      </c>
      <c r="BQ120" s="1">
        <v>49.972238</v>
      </c>
      <c r="BR120" s="1">
        <v>38378.7</v>
      </c>
      <c r="BS120" s="3">
        <v>1900000</v>
      </c>
    </row>
    <row r="121" spans="1:71">
      <c r="A121" s="1" t="s">
        <v>80</v>
      </c>
      <c r="B121" s="1">
        <v>10</v>
      </c>
      <c r="C121" s="1">
        <v>112.205</v>
      </c>
      <c r="D121" s="1">
        <v>23.5376</v>
      </c>
      <c r="E121" s="1">
        <v>2022</v>
      </c>
      <c r="F121" s="1">
        <v>0.339535290685824</v>
      </c>
      <c r="G121" s="1">
        <v>7.49962634966443</v>
      </c>
      <c r="H121" s="1">
        <v>5.68479213892188</v>
      </c>
      <c r="I121" s="1">
        <v>5.73417267099969</v>
      </c>
      <c r="J121" s="1">
        <v>5.56848025447021</v>
      </c>
      <c r="K121" s="1">
        <v>5.71671982112121</v>
      </c>
      <c r="L121" s="1">
        <v>-0.4528304</v>
      </c>
      <c r="M121" s="1">
        <v>8.58579718730087</v>
      </c>
      <c r="N121" s="1">
        <v>3.7841897</v>
      </c>
      <c r="O121" s="1">
        <v>11.0900191392421</v>
      </c>
      <c r="P121" s="1">
        <v>293.35665344311</v>
      </c>
      <c r="Q121" s="1">
        <v>308.257007616429</v>
      </c>
      <c r="R121" s="1">
        <v>261.035569092274</v>
      </c>
      <c r="S121" s="1">
        <v>302.906418832252</v>
      </c>
      <c r="T121" s="1">
        <v>70.5678</v>
      </c>
      <c r="U121" s="1">
        <v>5354.06</v>
      </c>
      <c r="V121" s="1">
        <v>43</v>
      </c>
      <c r="W121" s="1">
        <v>65513</v>
      </c>
      <c r="X121" s="1">
        <v>0.142566896924004</v>
      </c>
      <c r="Y121" s="1">
        <v>6.56</v>
      </c>
      <c r="Z121" s="1">
        <v>0.4166</v>
      </c>
      <c r="AA121" s="1">
        <v>5.6267030196203</v>
      </c>
      <c r="AB121" s="1">
        <f t="shared" si="3"/>
        <v>1.72752366131182</v>
      </c>
      <c r="AC121" s="1">
        <v>2.33500104379005</v>
      </c>
      <c r="AD121" s="1">
        <v>0.0260917030567686</v>
      </c>
      <c r="AE121" s="1">
        <v>0.863931171409662</v>
      </c>
      <c r="AF121" s="1">
        <v>87</v>
      </c>
      <c r="AG121" s="1">
        <v>0.430752</v>
      </c>
      <c r="AH121" s="2">
        <v>4.27065</v>
      </c>
      <c r="AI121" s="1">
        <v>49.9722376457524</v>
      </c>
      <c r="AJ121" s="1">
        <v>0.435502355787597</v>
      </c>
      <c r="AK121" s="1">
        <v>0.464408070041873</v>
      </c>
      <c r="AL121" s="1">
        <v>0.668381759483454</v>
      </c>
      <c r="AM121" s="1">
        <v>0.679599654021994</v>
      </c>
      <c r="AN121" s="1">
        <v>191</v>
      </c>
      <c r="AO121" s="1">
        <v>0.05295125</v>
      </c>
      <c r="AP121" s="1">
        <v>0.05111312</v>
      </c>
      <c r="AQ121" s="1">
        <v>0.05756427</v>
      </c>
      <c r="AR121" s="1">
        <v>0.03267126</v>
      </c>
      <c r="AS121" s="1">
        <v>0.05096945</v>
      </c>
      <c r="AT121" s="1">
        <v>0.03540311</v>
      </c>
      <c r="AU121" s="1">
        <v>0.04939837</v>
      </c>
      <c r="AV121" s="1">
        <v>0.04297071</v>
      </c>
      <c r="AW121" s="1">
        <v>0.0583372</v>
      </c>
      <c r="AX121" s="1">
        <v>0.05751941</v>
      </c>
      <c r="AY121" s="1">
        <v>0.08365607</v>
      </c>
      <c r="AZ121" s="1">
        <v>1685</v>
      </c>
      <c r="BA121" s="1">
        <v>133.3</v>
      </c>
      <c r="BB121" s="1">
        <f t="shared" si="4"/>
        <v>7.42952084278646</v>
      </c>
      <c r="BC121" s="1">
        <v>0.000642</v>
      </c>
      <c r="BD121" s="1">
        <v>412.84</v>
      </c>
      <c r="BE121" s="1">
        <v>0.968685111895931</v>
      </c>
      <c r="BF121" s="1">
        <v>146365.276391</v>
      </c>
      <c r="BG121" s="1">
        <v>-0.226121</v>
      </c>
      <c r="BH121" s="1">
        <v>2705.05</v>
      </c>
      <c r="BI121" s="1">
        <f t="shared" si="5"/>
        <v>7.9028756753981</v>
      </c>
      <c r="BJ121" s="1">
        <v>5.019958333</v>
      </c>
      <c r="BK121" s="1">
        <v>103137.7</v>
      </c>
      <c r="BL121" s="1">
        <v>49.9722376457524</v>
      </c>
      <c r="BM121" s="1">
        <v>215689</v>
      </c>
      <c r="BN121" s="1">
        <v>3760000</v>
      </c>
      <c r="BO121" s="1">
        <v>0.0574</v>
      </c>
      <c r="BP121" s="1">
        <v>0.999445</v>
      </c>
      <c r="BQ121" s="1">
        <v>49.972238</v>
      </c>
      <c r="BR121" s="1">
        <v>38378.7</v>
      </c>
      <c r="BS121" s="3">
        <v>1900000</v>
      </c>
    </row>
    <row r="122" spans="1:71">
      <c r="A122" s="1" t="s">
        <v>81</v>
      </c>
      <c r="B122" s="1">
        <v>11</v>
      </c>
      <c r="C122" s="1">
        <v>114.499</v>
      </c>
      <c r="D122" s="1">
        <v>23.2427</v>
      </c>
      <c r="E122" s="1">
        <v>2011</v>
      </c>
      <c r="F122" s="1">
        <v>0.323834478247736</v>
      </c>
      <c r="G122" s="1">
        <v>7.95965327606563</v>
      </c>
      <c r="H122" s="1">
        <v>4.25177557017092</v>
      </c>
      <c r="I122" s="1">
        <v>4.27847004651558</v>
      </c>
      <c r="J122" s="1">
        <v>4.26112937986692</v>
      </c>
      <c r="K122" s="1">
        <v>4.13899920276253</v>
      </c>
      <c r="L122" s="1">
        <v>-0.0511581</v>
      </c>
      <c r="M122" s="1">
        <v>7.14762221177356</v>
      </c>
      <c r="N122" s="1">
        <v>2.5649493</v>
      </c>
      <c r="O122" s="1">
        <v>10.7217684638528</v>
      </c>
      <c r="P122" s="1">
        <v>69.23</v>
      </c>
      <c r="Q122" s="1">
        <v>71.13</v>
      </c>
      <c r="R122" s="1">
        <v>69.89</v>
      </c>
      <c r="S122" s="1">
        <v>61.74</v>
      </c>
      <c r="T122" s="1">
        <v>60.41</v>
      </c>
      <c r="U122" s="1">
        <v>1270.08</v>
      </c>
      <c r="V122" s="1">
        <v>12</v>
      </c>
      <c r="W122" s="1">
        <v>45331</v>
      </c>
      <c r="X122" s="1">
        <v>1.19769486617048</v>
      </c>
      <c r="Y122" s="1">
        <v>4.84</v>
      </c>
      <c r="Z122" s="1">
        <v>0.584399999990445</v>
      </c>
      <c r="AA122" s="1">
        <v>6.01248856917444</v>
      </c>
      <c r="AB122" s="1">
        <f t="shared" si="3"/>
        <v>1.79383873425326</v>
      </c>
      <c r="AC122" s="1">
        <v>1.73023731334213</v>
      </c>
      <c r="AD122" s="1">
        <v>0.00641603498542274</v>
      </c>
      <c r="AE122" s="1">
        <v>0.692641150348911</v>
      </c>
      <c r="AF122" s="1">
        <v>12</v>
      </c>
      <c r="AG122" s="1">
        <v>0.356748</v>
      </c>
      <c r="AH122" s="2">
        <v>4.11757</v>
      </c>
      <c r="AI122" s="1">
        <v>51.605504587156</v>
      </c>
      <c r="AJ122" s="1">
        <v>1.75303813381757</v>
      </c>
      <c r="AK122" s="1">
        <v>2.12127412864061</v>
      </c>
      <c r="AL122" s="1">
        <v>2.34222730022179</v>
      </c>
      <c r="AM122" s="1">
        <v>2.519500016318</v>
      </c>
      <c r="AN122" s="1">
        <v>142</v>
      </c>
      <c r="AO122" s="1">
        <v>0.0732492</v>
      </c>
      <c r="AP122" s="1">
        <v>0.04608469</v>
      </c>
      <c r="AQ122" s="1">
        <v>0.0717966</v>
      </c>
      <c r="AR122" s="1">
        <v>0.09405257</v>
      </c>
      <c r="AS122" s="1">
        <v>0.04647724</v>
      </c>
      <c r="AT122" s="1">
        <v>0.09293445</v>
      </c>
      <c r="AU122" s="1">
        <v>0.03693351</v>
      </c>
      <c r="AV122" s="1">
        <v>0.04452864</v>
      </c>
      <c r="AW122" s="1">
        <v>0.05360763</v>
      </c>
      <c r="AX122" s="1">
        <v>0.03163</v>
      </c>
      <c r="AY122" s="1">
        <v>0.04441397</v>
      </c>
      <c r="AZ122" s="1">
        <v>1181</v>
      </c>
      <c r="BA122" s="1">
        <v>22.007</v>
      </c>
      <c r="BB122" s="1">
        <f t="shared" si="4"/>
        <v>7.07411681619736</v>
      </c>
      <c r="BC122" s="1">
        <v>0</v>
      </c>
      <c r="BD122" s="1">
        <v>343</v>
      </c>
      <c r="BE122" s="1">
        <v>0.615843713283539</v>
      </c>
      <c r="BF122" s="1">
        <v>-19.683297</v>
      </c>
      <c r="BG122" s="1">
        <v>0.928915</v>
      </c>
      <c r="BH122" s="1">
        <v>2080.136853</v>
      </c>
      <c r="BI122" s="1">
        <f t="shared" si="5"/>
        <v>7.64018896524252</v>
      </c>
      <c r="BJ122" s="1">
        <v>7.0664</v>
      </c>
      <c r="BK122" s="1">
        <v>24648.05</v>
      </c>
      <c r="BL122" s="1">
        <v>51.605504587156</v>
      </c>
      <c r="BM122" s="1">
        <v>268954</v>
      </c>
      <c r="BN122" s="1">
        <v>2870000</v>
      </c>
      <c r="BO122" s="1">
        <v>0.0937</v>
      </c>
      <c r="BP122" s="1">
        <v>0.538991</v>
      </c>
      <c r="BQ122" s="1">
        <v>51.605505</v>
      </c>
      <c r="BR122" s="1">
        <v>20697.3</v>
      </c>
      <c r="BS122" s="3">
        <v>2000000</v>
      </c>
    </row>
    <row r="123" spans="1:71">
      <c r="A123" s="1" t="s">
        <v>81</v>
      </c>
      <c r="B123" s="1">
        <v>11</v>
      </c>
      <c r="C123" s="1">
        <v>114.499</v>
      </c>
      <c r="D123" s="1">
        <v>23.2427</v>
      </c>
      <c r="E123" s="1">
        <v>2012</v>
      </c>
      <c r="F123" s="1">
        <v>0.330491241784573</v>
      </c>
      <c r="G123" s="1">
        <v>7.91264700633272</v>
      </c>
      <c r="H123" s="1">
        <v>4.71724808939344</v>
      </c>
      <c r="I123" s="1">
        <v>4.72809553282539</v>
      </c>
      <c r="J123" s="1">
        <v>4.68914361976427</v>
      </c>
      <c r="K123" s="1">
        <v>4.73153848480289</v>
      </c>
      <c r="L123" s="1">
        <v>-0.0511581</v>
      </c>
      <c r="M123" s="1">
        <v>6.60055054004149</v>
      </c>
      <c r="N123" s="1">
        <v>3.3322046</v>
      </c>
      <c r="O123" s="1">
        <v>10.837107266532</v>
      </c>
      <c r="P123" s="1">
        <v>110.86</v>
      </c>
      <c r="Q123" s="1">
        <v>112.08</v>
      </c>
      <c r="R123" s="1">
        <v>107.76</v>
      </c>
      <c r="S123" s="1">
        <v>112.47</v>
      </c>
      <c r="T123" s="1">
        <v>78.62</v>
      </c>
      <c r="U123" s="1">
        <v>734.5</v>
      </c>
      <c r="V123" s="1">
        <v>27</v>
      </c>
      <c r="W123" s="1">
        <v>50873</v>
      </c>
      <c r="X123" s="1">
        <v>1.31980141421729</v>
      </c>
      <c r="Y123" s="1">
        <v>7.7</v>
      </c>
      <c r="Z123" s="1">
        <v>0.581699999987329</v>
      </c>
      <c r="AA123" s="1">
        <v>6.0211697015219</v>
      </c>
      <c r="AB123" s="1">
        <f t="shared" si="3"/>
        <v>1.79528154302482</v>
      </c>
      <c r="AC123" s="1">
        <v>1.69313064953773</v>
      </c>
      <c r="AD123" s="1">
        <v>0.00710734132787365</v>
      </c>
      <c r="AE123" s="1">
        <v>0.584771573604061</v>
      </c>
      <c r="AF123" s="1">
        <v>9</v>
      </c>
      <c r="AG123" s="1">
        <v>0.382528</v>
      </c>
      <c r="AH123" s="2">
        <v>4.37727</v>
      </c>
      <c r="AI123" s="1">
        <v>51.605504587156</v>
      </c>
      <c r="AJ123" s="1">
        <v>1.75303813381757</v>
      </c>
      <c r="AK123" s="1">
        <v>2.12127412864061</v>
      </c>
      <c r="AL123" s="1">
        <v>2.34222730022179</v>
      </c>
      <c r="AM123" s="1">
        <v>2.519500016318</v>
      </c>
      <c r="AN123" s="1">
        <v>142</v>
      </c>
      <c r="AO123" s="1">
        <v>0.0732492</v>
      </c>
      <c r="AP123" s="1">
        <v>0.04608469</v>
      </c>
      <c r="AQ123" s="1">
        <v>0.0717966</v>
      </c>
      <c r="AR123" s="1">
        <v>0.09405257</v>
      </c>
      <c r="AS123" s="1">
        <v>0.04647724</v>
      </c>
      <c r="AT123" s="1">
        <v>0.09293445</v>
      </c>
      <c r="AU123" s="1">
        <v>0.03693351</v>
      </c>
      <c r="AV123" s="1">
        <v>0.04452864</v>
      </c>
      <c r="AW123" s="1">
        <v>0.05360763</v>
      </c>
      <c r="AX123" s="1">
        <v>0.03163</v>
      </c>
      <c r="AY123" s="1">
        <v>0.04441397</v>
      </c>
      <c r="AZ123" s="1">
        <v>1514</v>
      </c>
      <c r="BA123" s="1">
        <v>24.3</v>
      </c>
      <c r="BB123" s="1">
        <f t="shared" si="4"/>
        <v>7.32251043399739</v>
      </c>
      <c r="BC123" s="1">
        <v>0.000827</v>
      </c>
      <c r="BD123" s="1">
        <v>341.9</v>
      </c>
      <c r="BE123" s="1">
        <v>0.628674149513245</v>
      </c>
      <c r="BF123" s="1">
        <v>-10.201043</v>
      </c>
      <c r="BG123" s="1">
        <v>0.560262</v>
      </c>
      <c r="BH123" s="1">
        <v>2352.457332</v>
      </c>
      <c r="BI123" s="1">
        <f t="shared" si="5"/>
        <v>7.76321573399431</v>
      </c>
      <c r="BJ123" s="1">
        <v>7.0664</v>
      </c>
      <c r="BK123" s="1">
        <v>27655.62</v>
      </c>
      <c r="BL123" s="1">
        <v>51.605504587156</v>
      </c>
      <c r="BM123" s="1">
        <v>268954</v>
      </c>
      <c r="BN123" s="1">
        <v>2870000</v>
      </c>
      <c r="BO123" s="1">
        <v>0.0937</v>
      </c>
      <c r="BP123" s="1">
        <v>0.538991</v>
      </c>
      <c r="BQ123" s="1">
        <v>51.605505</v>
      </c>
      <c r="BR123" s="1">
        <v>20697.3</v>
      </c>
      <c r="BS123" s="3">
        <v>2000000</v>
      </c>
    </row>
    <row r="124" spans="1:71">
      <c r="A124" s="1" t="s">
        <v>81</v>
      </c>
      <c r="B124" s="1">
        <v>11</v>
      </c>
      <c r="C124" s="1">
        <v>114.499</v>
      </c>
      <c r="D124" s="1">
        <v>23.2427</v>
      </c>
      <c r="E124" s="1">
        <v>2013</v>
      </c>
      <c r="F124" s="1">
        <v>0.349443927790681</v>
      </c>
      <c r="G124" s="1">
        <v>7.8543379163508</v>
      </c>
      <c r="H124" s="1">
        <v>5.01919852475674</v>
      </c>
      <c r="I124" s="1">
        <v>4.97845639573202</v>
      </c>
      <c r="J124" s="1">
        <v>4.96403273537223</v>
      </c>
      <c r="K124" s="1">
        <v>5.22547782037107</v>
      </c>
      <c r="L124" s="1">
        <v>-0.0511581</v>
      </c>
      <c r="M124" s="1">
        <v>7.09589322109753</v>
      </c>
      <c r="N124" s="1">
        <v>4.189655</v>
      </c>
      <c r="O124" s="1">
        <v>10.9533471763316</v>
      </c>
      <c r="P124" s="1">
        <v>150.29</v>
      </c>
      <c r="Q124" s="1">
        <v>144.25</v>
      </c>
      <c r="R124" s="1">
        <v>142.17</v>
      </c>
      <c r="S124" s="1">
        <v>184.95</v>
      </c>
      <c r="T124" s="1">
        <v>95.34</v>
      </c>
      <c r="U124" s="1">
        <v>1206</v>
      </c>
      <c r="V124" s="1">
        <v>65</v>
      </c>
      <c r="W124" s="1">
        <v>57144</v>
      </c>
      <c r="X124" s="1">
        <v>1.32712256050087</v>
      </c>
      <c r="Y124" s="1">
        <v>10.12</v>
      </c>
      <c r="Z124" s="1">
        <v>0.578900000003734</v>
      </c>
      <c r="AA124" s="1">
        <v>6.02671697412124</v>
      </c>
      <c r="AB124" s="1">
        <f t="shared" si="3"/>
        <v>1.79620241373695</v>
      </c>
      <c r="AC124" s="1">
        <v>1.79646178972377</v>
      </c>
      <c r="AD124" s="1">
        <v>0.00786604542807222</v>
      </c>
      <c r="AE124" s="1">
        <v>0.741507103150093</v>
      </c>
      <c r="AF124" s="1">
        <v>10</v>
      </c>
      <c r="AG124" s="1">
        <v>0.387618</v>
      </c>
      <c r="AH124" s="2">
        <v>4.56788</v>
      </c>
      <c r="AI124" s="1">
        <v>51.605504587156</v>
      </c>
      <c r="AJ124" s="1">
        <v>1.75303813381757</v>
      </c>
      <c r="AK124" s="1">
        <v>2.12127412864061</v>
      </c>
      <c r="AL124" s="1">
        <v>2.34222730022179</v>
      </c>
      <c r="AM124" s="1">
        <v>2.519500016318</v>
      </c>
      <c r="AN124" s="1">
        <v>142</v>
      </c>
      <c r="AO124" s="1">
        <v>0.0732492</v>
      </c>
      <c r="AP124" s="1">
        <v>0.04608469</v>
      </c>
      <c r="AQ124" s="1">
        <v>0.0717966</v>
      </c>
      <c r="AR124" s="1">
        <v>0.09405257</v>
      </c>
      <c r="AS124" s="1">
        <v>0.04647724</v>
      </c>
      <c r="AT124" s="1">
        <v>0.09293445</v>
      </c>
      <c r="AU124" s="1">
        <v>0.03693351</v>
      </c>
      <c r="AV124" s="1">
        <v>0.04452864</v>
      </c>
      <c r="AW124" s="1">
        <v>0.05360763</v>
      </c>
      <c r="AX124" s="1">
        <v>0.03163</v>
      </c>
      <c r="AY124" s="1">
        <v>0.04441397</v>
      </c>
      <c r="AZ124" s="1">
        <v>1962</v>
      </c>
      <c r="BA124" s="1">
        <v>27.012</v>
      </c>
      <c r="BB124" s="1">
        <f t="shared" si="4"/>
        <v>7.58171964012531</v>
      </c>
      <c r="BC124" s="1">
        <v>0.000291</v>
      </c>
      <c r="BD124" s="1">
        <v>343.4</v>
      </c>
      <c r="BE124" s="1">
        <v>0.639142215251923</v>
      </c>
      <c r="BF124" s="1">
        <v>-11.565973</v>
      </c>
      <c r="BG124" s="1">
        <v>1.749037</v>
      </c>
      <c r="BH124" s="1">
        <v>2674.50361067798</v>
      </c>
      <c r="BI124" s="1">
        <f t="shared" si="5"/>
        <v>7.8915190760089</v>
      </c>
      <c r="BJ124" s="1">
        <v>7.0664</v>
      </c>
      <c r="BK124" s="1">
        <v>30399.08</v>
      </c>
      <c r="BL124" s="1">
        <v>51.605504587156</v>
      </c>
      <c r="BM124" s="1">
        <v>268954</v>
      </c>
      <c r="BN124" s="1">
        <v>2870000</v>
      </c>
      <c r="BO124" s="1">
        <v>0.0937</v>
      </c>
      <c r="BP124" s="1">
        <v>0.538991</v>
      </c>
      <c r="BQ124" s="1">
        <v>51.605505</v>
      </c>
      <c r="BR124" s="1">
        <v>20697.3</v>
      </c>
      <c r="BS124" s="3">
        <v>2000000</v>
      </c>
    </row>
    <row r="125" spans="1:71">
      <c r="A125" s="1" t="s">
        <v>81</v>
      </c>
      <c r="B125" s="1">
        <v>11</v>
      </c>
      <c r="C125" s="1">
        <v>114.499</v>
      </c>
      <c r="D125" s="1">
        <v>23.2427</v>
      </c>
      <c r="E125" s="1">
        <v>2014</v>
      </c>
      <c r="F125" s="1">
        <v>0.357990173737733</v>
      </c>
      <c r="G125" s="1">
        <v>7.97324296303853</v>
      </c>
      <c r="H125" s="1">
        <v>5.08103162471798</v>
      </c>
      <c r="I125" s="1">
        <v>5.18004045895698</v>
      </c>
      <c r="J125" s="1">
        <v>4.89297725062802</v>
      </c>
      <c r="K125" s="1">
        <v>5.04831636106394</v>
      </c>
      <c r="L125" s="1">
        <v>-0.0511581</v>
      </c>
      <c r="M125" s="1">
        <v>6.22116654471943</v>
      </c>
      <c r="N125" s="1">
        <v>3.988984</v>
      </c>
      <c r="O125" s="1">
        <v>11.0612802834402</v>
      </c>
      <c r="P125" s="1">
        <v>159.94</v>
      </c>
      <c r="Q125" s="1">
        <v>176.69</v>
      </c>
      <c r="R125" s="1">
        <v>132.35</v>
      </c>
      <c r="S125" s="1">
        <v>154.76</v>
      </c>
      <c r="T125" s="1">
        <v>95.95</v>
      </c>
      <c r="U125" s="1">
        <v>502.29</v>
      </c>
      <c r="V125" s="1">
        <v>53</v>
      </c>
      <c r="W125" s="1">
        <v>63657</v>
      </c>
      <c r="X125" s="1">
        <v>1.21608440353005</v>
      </c>
      <c r="Y125" s="1">
        <v>11.95</v>
      </c>
      <c r="Z125" s="1">
        <v>0.565599999986668</v>
      </c>
      <c r="AA125" s="1">
        <v>6.03209614804181</v>
      </c>
      <c r="AB125" s="1">
        <f t="shared" si="3"/>
        <v>1.79709457024072</v>
      </c>
      <c r="AC125" s="1">
        <v>1.77523289314502</v>
      </c>
      <c r="AD125" s="1">
        <v>0.00866083213773314</v>
      </c>
      <c r="AE125" s="1">
        <v>0.74523445109225</v>
      </c>
      <c r="AF125" s="1">
        <v>24</v>
      </c>
      <c r="AG125" s="1">
        <v>0.374748</v>
      </c>
      <c r="AH125" s="2">
        <v>4.5742</v>
      </c>
      <c r="AI125" s="1">
        <v>51.605504587156</v>
      </c>
      <c r="AJ125" s="1">
        <v>1.75303813381757</v>
      </c>
      <c r="AK125" s="1">
        <v>2.12127412864061</v>
      </c>
      <c r="AL125" s="1">
        <v>2.34222730022179</v>
      </c>
      <c r="AM125" s="1">
        <v>2.519500016318</v>
      </c>
      <c r="AN125" s="1">
        <v>142</v>
      </c>
      <c r="AO125" s="1">
        <v>0.0732492</v>
      </c>
      <c r="AP125" s="1">
        <v>0.04608469</v>
      </c>
      <c r="AQ125" s="1">
        <v>0.0717966</v>
      </c>
      <c r="AR125" s="1">
        <v>0.09405257</v>
      </c>
      <c r="AS125" s="1">
        <v>0.04647724</v>
      </c>
      <c r="AT125" s="1">
        <v>0.09293445</v>
      </c>
      <c r="AU125" s="1">
        <v>0.03693351</v>
      </c>
      <c r="AV125" s="1">
        <v>0.04452864</v>
      </c>
      <c r="AW125" s="1">
        <v>0.05360763</v>
      </c>
      <c r="AX125" s="1">
        <v>0.03163</v>
      </c>
      <c r="AY125" s="1">
        <v>0.04441397</v>
      </c>
      <c r="AZ125" s="1">
        <v>2575</v>
      </c>
      <c r="BA125" s="1">
        <v>30.183</v>
      </c>
      <c r="BB125" s="1">
        <f t="shared" si="4"/>
        <v>7.85360481309784</v>
      </c>
      <c r="BC125" s="1">
        <v>0.00033</v>
      </c>
      <c r="BD125" s="1">
        <v>537.66</v>
      </c>
      <c r="BE125" s="1">
        <v>0.684934079647064</v>
      </c>
      <c r="BF125" s="1">
        <v>-1.48332</v>
      </c>
      <c r="BG125" s="1">
        <v>2.015217</v>
      </c>
      <c r="BH125" s="1">
        <v>2959.11028792554</v>
      </c>
      <c r="BI125" s="1">
        <f t="shared" si="5"/>
        <v>7.99264392373183</v>
      </c>
      <c r="BJ125" s="1">
        <v>7.0664</v>
      </c>
      <c r="BK125" s="1">
        <v>33287</v>
      </c>
      <c r="BL125" s="1">
        <v>51.605504587156</v>
      </c>
      <c r="BM125" s="1">
        <v>268954</v>
      </c>
      <c r="BN125" s="1">
        <v>2870000</v>
      </c>
      <c r="BO125" s="1">
        <v>0.0937</v>
      </c>
      <c r="BP125" s="1">
        <v>0.538991</v>
      </c>
      <c r="BQ125" s="1">
        <v>51.605505</v>
      </c>
      <c r="BR125" s="1">
        <v>20697.3</v>
      </c>
      <c r="BS125" s="3">
        <v>2000000</v>
      </c>
    </row>
    <row r="126" spans="1:71">
      <c r="A126" s="1" t="s">
        <v>81</v>
      </c>
      <c r="B126" s="1">
        <v>11</v>
      </c>
      <c r="C126" s="1">
        <v>114.499</v>
      </c>
      <c r="D126" s="1">
        <v>23.2427</v>
      </c>
      <c r="E126" s="1">
        <v>2015</v>
      </c>
      <c r="F126" s="1">
        <v>0.357938908131773</v>
      </c>
      <c r="G126" s="1">
        <v>8.02274228683448</v>
      </c>
      <c r="H126" s="1">
        <v>5.25978441683125</v>
      </c>
      <c r="I126" s="1">
        <v>5.29224899114643</v>
      </c>
      <c r="J126" s="1">
        <v>5.06246844273627</v>
      </c>
      <c r="K126" s="1">
        <v>5.45579109037222</v>
      </c>
      <c r="L126" s="1">
        <v>-0.0511581</v>
      </c>
      <c r="M126" s="1">
        <v>8.8049027634899</v>
      </c>
      <c r="N126" s="1">
        <v>4.543295</v>
      </c>
      <c r="O126" s="1">
        <v>11.1009190088186</v>
      </c>
      <c r="P126" s="1">
        <v>191.44</v>
      </c>
      <c r="Q126" s="1">
        <v>197.79</v>
      </c>
      <c r="R126" s="1">
        <v>156.98</v>
      </c>
      <c r="S126" s="1">
        <v>233.11</v>
      </c>
      <c r="T126" s="1">
        <v>110.16</v>
      </c>
      <c r="U126" s="1">
        <v>6665.85</v>
      </c>
      <c r="V126" s="1">
        <v>93</v>
      </c>
      <c r="W126" s="1">
        <v>66231</v>
      </c>
      <c r="X126" s="1">
        <v>1.07516468151616</v>
      </c>
      <c r="Y126" s="1">
        <v>4.68</v>
      </c>
      <c r="Z126" s="1">
        <v>0.549699999993631</v>
      </c>
      <c r="AA126" s="1">
        <v>6.18438328914841</v>
      </c>
      <c r="AB126" s="1">
        <f t="shared" si="3"/>
        <v>1.82202729014518</v>
      </c>
      <c r="AC126" s="1">
        <v>1.93529123569687</v>
      </c>
      <c r="AD126" s="1">
        <v>0.0095706724171731</v>
      </c>
      <c r="AE126" s="1">
        <v>0.643261757344223</v>
      </c>
      <c r="AF126" s="1">
        <v>31</v>
      </c>
      <c r="AG126" s="1">
        <v>0.35042</v>
      </c>
      <c r="AH126" s="2">
        <v>4.71097</v>
      </c>
      <c r="AI126" s="1">
        <v>51.605504587156</v>
      </c>
      <c r="AJ126" s="1">
        <v>1.75303813381757</v>
      </c>
      <c r="AK126" s="1">
        <v>2.12127412864061</v>
      </c>
      <c r="AL126" s="1">
        <v>2.34222730022179</v>
      </c>
      <c r="AM126" s="1">
        <v>2.519500016318</v>
      </c>
      <c r="AN126" s="1">
        <v>142</v>
      </c>
      <c r="AO126" s="1">
        <v>0.0732492</v>
      </c>
      <c r="AP126" s="1">
        <v>0.04608469</v>
      </c>
      <c r="AQ126" s="1">
        <v>0.0717966</v>
      </c>
      <c r="AR126" s="1">
        <v>0.09405257</v>
      </c>
      <c r="AS126" s="1">
        <v>0.04647724</v>
      </c>
      <c r="AT126" s="1">
        <v>0.09293445</v>
      </c>
      <c r="AU126" s="1">
        <v>0.03693351</v>
      </c>
      <c r="AV126" s="1">
        <v>0.04452864</v>
      </c>
      <c r="AW126" s="1">
        <v>0.05360763</v>
      </c>
      <c r="AX126" s="1">
        <v>0.03163</v>
      </c>
      <c r="AY126" s="1">
        <v>0.04441397</v>
      </c>
      <c r="AZ126" s="1">
        <v>3110</v>
      </c>
      <c r="BA126" s="1">
        <v>34.174</v>
      </c>
      <c r="BB126" s="1">
        <f t="shared" si="4"/>
        <v>8.04237800517328</v>
      </c>
      <c r="BC126" s="1">
        <v>0.000609</v>
      </c>
      <c r="BD126" s="1">
        <v>550.41</v>
      </c>
      <c r="BE126" s="1">
        <v>0.687528014183044</v>
      </c>
      <c r="BF126" s="1">
        <v>-2.6959</v>
      </c>
      <c r="BG126" s="1">
        <v>2.034239</v>
      </c>
      <c r="BH126" s="1">
        <v>3090.22180265444</v>
      </c>
      <c r="BI126" s="1">
        <f t="shared" si="5"/>
        <v>8.03599814810999</v>
      </c>
      <c r="BJ126" s="1">
        <v>7.0664</v>
      </c>
      <c r="BK126" s="1">
        <v>34967.03</v>
      </c>
      <c r="BL126" s="1">
        <v>51.605504587156</v>
      </c>
      <c r="BM126" s="1">
        <v>268954</v>
      </c>
      <c r="BN126" s="1">
        <v>2870000</v>
      </c>
      <c r="BO126" s="1">
        <v>0.0937</v>
      </c>
      <c r="BP126" s="1">
        <v>0.538991</v>
      </c>
      <c r="BQ126" s="1">
        <v>51.605505</v>
      </c>
      <c r="BR126" s="1">
        <v>20697.3</v>
      </c>
      <c r="BS126" s="3">
        <v>2000000</v>
      </c>
    </row>
    <row r="127" spans="1:71">
      <c r="A127" s="1" t="s">
        <v>81</v>
      </c>
      <c r="B127" s="1">
        <v>11</v>
      </c>
      <c r="C127" s="1">
        <v>114.499</v>
      </c>
      <c r="D127" s="1">
        <v>23.2427</v>
      </c>
      <c r="E127" s="1">
        <v>2016</v>
      </c>
      <c r="F127" s="1">
        <v>0.367258172364343</v>
      </c>
      <c r="G127" s="1">
        <v>8.04799702328601</v>
      </c>
      <c r="H127" s="1">
        <v>5.37015288767536</v>
      </c>
      <c r="I127" s="1">
        <v>5.35781198261898</v>
      </c>
      <c r="J127" s="1">
        <v>5.34353830909365</v>
      </c>
      <c r="K127" s="1">
        <v>5.4547558992429</v>
      </c>
      <c r="L127" s="1">
        <v>-0.0511581</v>
      </c>
      <c r="M127" s="1">
        <v>5.68728039455669</v>
      </c>
      <c r="N127" s="1">
        <v>5.214936</v>
      </c>
      <c r="O127" s="1">
        <v>11.1789341483204</v>
      </c>
      <c r="P127" s="1">
        <v>213.895720129138</v>
      </c>
      <c r="Q127" s="1">
        <v>211.260009393613</v>
      </c>
      <c r="R127" s="1">
        <v>208.251799474997</v>
      </c>
      <c r="S127" s="1">
        <v>232.867776821411</v>
      </c>
      <c r="T127" s="1">
        <v>109.35</v>
      </c>
      <c r="U127" s="1">
        <v>294.09</v>
      </c>
      <c r="V127" s="1">
        <v>183</v>
      </c>
      <c r="W127" s="1">
        <v>71605</v>
      </c>
      <c r="X127" s="1">
        <v>0.892330624722335</v>
      </c>
      <c r="Y127" s="1">
        <v>8.6</v>
      </c>
      <c r="Z127" s="1">
        <v>0.538500000014653</v>
      </c>
      <c r="AA127" s="1">
        <v>6.20651977348485</v>
      </c>
      <c r="AB127" s="1">
        <f t="shared" si="3"/>
        <v>1.82560031590045</v>
      </c>
      <c r="AC127" s="1">
        <v>2.25658834234701</v>
      </c>
      <c r="AD127" s="1">
        <v>0.0102532967032967</v>
      </c>
      <c r="AE127" s="1">
        <v>0.905966143682907</v>
      </c>
      <c r="AF127" s="1">
        <v>19</v>
      </c>
      <c r="AG127" s="1">
        <v>0.430344</v>
      </c>
      <c r="AH127" s="2">
        <v>4.70366</v>
      </c>
      <c r="AI127" s="1">
        <v>51.605504587156</v>
      </c>
      <c r="AJ127" s="1">
        <v>1.75303813381757</v>
      </c>
      <c r="AK127" s="1">
        <v>2.12127412864061</v>
      </c>
      <c r="AL127" s="1">
        <v>2.34222730022179</v>
      </c>
      <c r="AM127" s="1">
        <v>2.519500016318</v>
      </c>
      <c r="AN127" s="1">
        <v>142</v>
      </c>
      <c r="AO127" s="1">
        <v>0.0732492</v>
      </c>
      <c r="AP127" s="1">
        <v>0.04608469</v>
      </c>
      <c r="AQ127" s="1">
        <v>0.0717966</v>
      </c>
      <c r="AR127" s="1">
        <v>0.09405257</v>
      </c>
      <c r="AS127" s="1">
        <v>0.04647724</v>
      </c>
      <c r="AT127" s="1">
        <v>0.09293445</v>
      </c>
      <c r="AU127" s="1">
        <v>0.03693351</v>
      </c>
      <c r="AV127" s="1">
        <v>0.04452864</v>
      </c>
      <c r="AW127" s="1">
        <v>0.05360763</v>
      </c>
      <c r="AX127" s="1">
        <v>0.03163</v>
      </c>
      <c r="AY127" s="1">
        <v>0.04441397</v>
      </c>
      <c r="AZ127" s="1">
        <v>4229</v>
      </c>
      <c r="BA127" s="1">
        <v>37.322</v>
      </c>
      <c r="BB127" s="1">
        <f t="shared" si="4"/>
        <v>8.34972083747249</v>
      </c>
      <c r="BC127" s="1">
        <v>0.00138</v>
      </c>
      <c r="BD127" s="1">
        <v>562.73</v>
      </c>
      <c r="BE127" s="1">
        <v>0.721708714962006</v>
      </c>
      <c r="BF127" s="1">
        <v>55.28725</v>
      </c>
      <c r="BG127" s="1">
        <v>2.143241</v>
      </c>
      <c r="BH127" s="1">
        <v>3359.52030065704</v>
      </c>
      <c r="BI127" s="1">
        <f t="shared" si="5"/>
        <v>8.11955347510338</v>
      </c>
      <c r="BJ127" s="1">
        <v>7.0664</v>
      </c>
      <c r="BK127" s="1">
        <v>37096.58</v>
      </c>
      <c r="BL127" s="1">
        <v>51.605504587156</v>
      </c>
      <c r="BM127" s="1">
        <v>268954</v>
      </c>
      <c r="BN127" s="1">
        <v>2870000</v>
      </c>
      <c r="BO127" s="1">
        <v>0.0937</v>
      </c>
      <c r="BP127" s="1">
        <v>0.538991</v>
      </c>
      <c r="BQ127" s="1">
        <v>51.605505</v>
      </c>
      <c r="BR127" s="1">
        <v>20697.3</v>
      </c>
      <c r="BS127" s="3">
        <v>2000000</v>
      </c>
    </row>
    <row r="128" spans="1:71">
      <c r="A128" s="1" t="s">
        <v>81</v>
      </c>
      <c r="B128" s="1">
        <v>11</v>
      </c>
      <c r="C128" s="1">
        <v>114.499</v>
      </c>
      <c r="D128" s="1">
        <v>23.2427</v>
      </c>
      <c r="E128" s="1">
        <v>2017</v>
      </c>
      <c r="F128" s="1">
        <v>0.335375031958377</v>
      </c>
      <c r="G128" s="1">
        <v>7.97344322490207</v>
      </c>
      <c r="H128" s="1">
        <v>5.49547611292083</v>
      </c>
      <c r="I128" s="1">
        <v>5.45624979212357</v>
      </c>
      <c r="J128" s="1">
        <v>5.54839485836057</v>
      </c>
      <c r="K128" s="1">
        <v>5.52340881907026</v>
      </c>
      <c r="L128" s="1">
        <v>-0.0511581</v>
      </c>
      <c r="M128" s="1">
        <v>7.80058493960747</v>
      </c>
      <c r="N128" s="1">
        <v>5.0689044</v>
      </c>
      <c r="O128" s="1">
        <v>11.2923512687843</v>
      </c>
      <c r="P128" s="1">
        <v>242.587473729321</v>
      </c>
      <c r="Q128" s="1">
        <v>233.217411285627</v>
      </c>
      <c r="R128" s="1">
        <v>255.824984393439</v>
      </c>
      <c r="S128" s="1">
        <v>249.487449883787</v>
      </c>
      <c r="T128" s="1">
        <v>114.01</v>
      </c>
      <c r="U128" s="1">
        <v>2441.03</v>
      </c>
      <c r="V128" s="1">
        <v>158</v>
      </c>
      <c r="W128" s="1">
        <v>80204.8127</v>
      </c>
      <c r="X128" s="1">
        <v>0.891769106933858</v>
      </c>
      <c r="Y128" s="1">
        <v>15.31</v>
      </c>
      <c r="Z128" s="4">
        <v>0.533</v>
      </c>
      <c r="AA128" s="1">
        <v>6.22315523400407</v>
      </c>
      <c r="AB128" s="1">
        <f t="shared" si="3"/>
        <v>1.82827705047989</v>
      </c>
      <c r="AC128" s="1">
        <v>2.32200854392384</v>
      </c>
      <c r="AD128" s="1">
        <v>0.0106265582655827</v>
      </c>
      <c r="AE128" s="1">
        <v>1.15645968686761</v>
      </c>
      <c r="AF128" s="1">
        <v>95</v>
      </c>
      <c r="AG128" s="1">
        <v>0.419506</v>
      </c>
      <c r="AH128" s="2">
        <v>4.74502</v>
      </c>
      <c r="AI128" s="1">
        <v>51.605504587156</v>
      </c>
      <c r="AJ128" s="1">
        <v>1.75303813381757</v>
      </c>
      <c r="AK128" s="1">
        <v>2.12127412864061</v>
      </c>
      <c r="AL128" s="1">
        <v>2.34222730022179</v>
      </c>
      <c r="AM128" s="1">
        <v>2.519500016318</v>
      </c>
      <c r="AN128" s="1">
        <v>142</v>
      </c>
      <c r="AO128" s="1">
        <v>0.0732492</v>
      </c>
      <c r="AP128" s="1">
        <v>0.04608469</v>
      </c>
      <c r="AQ128" s="1">
        <v>0.0717966</v>
      </c>
      <c r="AR128" s="1">
        <v>0.09405257</v>
      </c>
      <c r="AS128" s="1">
        <v>0.04647724</v>
      </c>
      <c r="AT128" s="1">
        <v>0.09293445</v>
      </c>
      <c r="AU128" s="1">
        <v>0.03693351</v>
      </c>
      <c r="AV128" s="1">
        <v>0.04452864</v>
      </c>
      <c r="AW128" s="1">
        <v>0.05360763</v>
      </c>
      <c r="AX128" s="1">
        <v>0.03163</v>
      </c>
      <c r="AY128" s="1">
        <v>0.04441397</v>
      </c>
      <c r="AZ128" s="1">
        <v>6090</v>
      </c>
      <c r="BA128" s="1">
        <v>40.023</v>
      </c>
      <c r="BB128" s="1">
        <f t="shared" si="4"/>
        <v>8.71440336070394</v>
      </c>
      <c r="BC128" s="1">
        <v>0.00108</v>
      </c>
      <c r="BD128" s="1">
        <v>572.22</v>
      </c>
      <c r="BE128" s="1">
        <v>0.803877830505371</v>
      </c>
      <c r="BF128" s="1">
        <v>294.43532</v>
      </c>
      <c r="BG128" s="1">
        <v>2.582764</v>
      </c>
      <c r="BH128" s="1">
        <v>3745.75108770254</v>
      </c>
      <c r="BI128" s="1">
        <f t="shared" si="5"/>
        <v>8.22837743330632</v>
      </c>
      <c r="BJ128" s="1">
        <v>7.0664</v>
      </c>
      <c r="BK128" s="1">
        <v>39413.7</v>
      </c>
      <c r="BL128" s="1">
        <v>51.605504587156</v>
      </c>
      <c r="BM128" s="1">
        <v>268954</v>
      </c>
      <c r="BN128" s="1">
        <v>2870000</v>
      </c>
      <c r="BO128" s="1">
        <v>0.0937</v>
      </c>
      <c r="BP128" s="1">
        <v>0.538991</v>
      </c>
      <c r="BQ128" s="1">
        <v>51.605505</v>
      </c>
      <c r="BR128" s="1">
        <v>20697.3</v>
      </c>
      <c r="BS128" s="3">
        <v>2000000</v>
      </c>
    </row>
    <row r="129" spans="1:71">
      <c r="A129" s="1" t="s">
        <v>81</v>
      </c>
      <c r="B129" s="1">
        <v>11</v>
      </c>
      <c r="C129" s="1">
        <v>114.499</v>
      </c>
      <c r="D129" s="1">
        <v>23.2427</v>
      </c>
      <c r="E129" s="1">
        <v>2018</v>
      </c>
      <c r="F129" s="1">
        <v>0.3401269816811</v>
      </c>
      <c r="G129" s="1">
        <v>8.04691984964134</v>
      </c>
      <c r="H129" s="1">
        <v>5.55530343634217</v>
      </c>
      <c r="I129" s="1">
        <v>5.53835828072646</v>
      </c>
      <c r="J129" s="1">
        <v>5.53456494780236</v>
      </c>
      <c r="K129" s="1">
        <v>5.64408252172253</v>
      </c>
      <c r="L129" s="1">
        <v>-0.0511581</v>
      </c>
      <c r="M129" s="1">
        <v>6.73381847172257</v>
      </c>
      <c r="N129" s="1">
        <v>5.273</v>
      </c>
      <c r="O129" s="1">
        <v>11.3553238374667</v>
      </c>
      <c r="P129" s="1">
        <v>257.605422928733</v>
      </c>
      <c r="Q129" s="1">
        <v>253.260232742302</v>
      </c>
      <c r="R129" s="1">
        <v>252.297565953407</v>
      </c>
      <c r="S129" s="1">
        <v>281.614144860705</v>
      </c>
      <c r="T129" s="1">
        <v>120.7</v>
      </c>
      <c r="U129" s="1">
        <v>839.35</v>
      </c>
      <c r="V129" s="1">
        <v>194</v>
      </c>
      <c r="W129" s="1">
        <v>85418</v>
      </c>
      <c r="X129" s="1">
        <v>0.81273866982763</v>
      </c>
      <c r="Y129" s="1">
        <v>17.51</v>
      </c>
      <c r="Z129" s="1">
        <v>0.526800000009749</v>
      </c>
      <c r="AA129" s="1">
        <v>6.24476480135733</v>
      </c>
      <c r="AB129" s="1">
        <f t="shared" si="3"/>
        <v>1.83174348095596</v>
      </c>
      <c r="AC129" s="1">
        <v>2.55675176232178</v>
      </c>
      <c r="AD129" s="1">
        <v>0.011553280839895</v>
      </c>
      <c r="AE129" s="1">
        <v>1.18054085266096</v>
      </c>
      <c r="AF129" s="1">
        <v>47</v>
      </c>
      <c r="AG129" s="1">
        <v>0.430312</v>
      </c>
      <c r="AH129" s="2">
        <v>4.80156</v>
      </c>
      <c r="AI129" s="1">
        <v>51.605504587156</v>
      </c>
      <c r="AJ129" s="1">
        <v>1.75303813381757</v>
      </c>
      <c r="AK129" s="1">
        <v>2.12127412864061</v>
      </c>
      <c r="AL129" s="1">
        <v>2.34222730022179</v>
      </c>
      <c r="AM129" s="1">
        <v>2.519500016318</v>
      </c>
      <c r="AN129" s="1">
        <v>142</v>
      </c>
      <c r="AO129" s="1">
        <v>0.0732492</v>
      </c>
      <c r="AP129" s="1">
        <v>0.04608469</v>
      </c>
      <c r="AQ129" s="1">
        <v>0.0717966</v>
      </c>
      <c r="AR129" s="1">
        <v>0.09405257</v>
      </c>
      <c r="AS129" s="1">
        <v>0.04647724</v>
      </c>
      <c r="AT129" s="1">
        <v>0.09293445</v>
      </c>
      <c r="AU129" s="1">
        <v>0.03693351</v>
      </c>
      <c r="AV129" s="1">
        <v>0.04452864</v>
      </c>
      <c r="AW129" s="1">
        <v>0.05360763</v>
      </c>
      <c r="AX129" s="1">
        <v>0.03163</v>
      </c>
      <c r="AY129" s="1">
        <v>0.04441397</v>
      </c>
      <c r="AZ129" s="1">
        <v>5113</v>
      </c>
      <c r="BA129" s="1">
        <v>44.018</v>
      </c>
      <c r="BB129" s="1">
        <f t="shared" si="4"/>
        <v>8.53954159508</v>
      </c>
      <c r="BC129" s="1">
        <v>0.000605</v>
      </c>
      <c r="BD129" s="1">
        <v>584.72</v>
      </c>
      <c r="BE129" s="1">
        <v>0.803409337997437</v>
      </c>
      <c r="BF129" s="1">
        <v>11.030362</v>
      </c>
      <c r="BG129" s="1">
        <v>4.581425</v>
      </c>
      <c r="BH129" s="1">
        <v>4003.3312</v>
      </c>
      <c r="BI129" s="1">
        <f t="shared" si="5"/>
        <v>8.29488209351652</v>
      </c>
      <c r="BJ129" s="1">
        <v>7.0664</v>
      </c>
      <c r="BK129" s="1">
        <v>41609.02</v>
      </c>
      <c r="BL129" s="1">
        <v>51.605504587156</v>
      </c>
      <c r="BM129" s="1">
        <v>268954</v>
      </c>
      <c r="BN129" s="1">
        <v>2870000</v>
      </c>
      <c r="BO129" s="1">
        <v>0.0937</v>
      </c>
      <c r="BP129" s="1">
        <v>0.538991</v>
      </c>
      <c r="BQ129" s="1">
        <v>51.605505</v>
      </c>
      <c r="BR129" s="1">
        <v>20697.3</v>
      </c>
      <c r="BS129" s="3">
        <v>2000000</v>
      </c>
    </row>
    <row r="130" spans="1:71">
      <c r="A130" s="1" t="s">
        <v>81</v>
      </c>
      <c r="B130" s="1">
        <v>11</v>
      </c>
      <c r="C130" s="1">
        <v>114.499</v>
      </c>
      <c r="D130" s="1">
        <v>23.2427</v>
      </c>
      <c r="E130" s="1">
        <v>2019</v>
      </c>
      <c r="F130" s="1">
        <v>0.311759053835422</v>
      </c>
      <c r="G130" s="1">
        <v>8.0365595289512</v>
      </c>
      <c r="H130" s="1">
        <v>5.60976695711489</v>
      </c>
      <c r="I130" s="1">
        <v>5.60896084635781</v>
      </c>
      <c r="J130" s="1">
        <v>5.56798020573323</v>
      </c>
      <c r="K130" s="1">
        <v>5.68403007307868</v>
      </c>
      <c r="L130" s="1">
        <v>-0.0511581</v>
      </c>
      <c r="M130" s="1">
        <v>8.40211898357077</v>
      </c>
      <c r="N130" s="1">
        <v>5.117994</v>
      </c>
      <c r="O130" s="1">
        <v>11.3626195985328</v>
      </c>
      <c r="P130" s="1">
        <v>272.080591067359</v>
      </c>
      <c r="Q130" s="1">
        <v>271.860546608748</v>
      </c>
      <c r="R130" s="1">
        <v>260.904571292544</v>
      </c>
      <c r="S130" s="1">
        <v>293.132419659645</v>
      </c>
      <c r="T130" s="1">
        <v>125.0625</v>
      </c>
      <c r="U130" s="1">
        <v>4455.5</v>
      </c>
      <c r="V130" s="1">
        <v>166</v>
      </c>
      <c r="W130" s="1">
        <v>86043.4755</v>
      </c>
      <c r="X130" s="1">
        <v>0.648643099252846</v>
      </c>
      <c r="Y130" s="1">
        <v>4.44</v>
      </c>
      <c r="Z130" s="1">
        <v>0.5193</v>
      </c>
      <c r="AA130" s="1">
        <v>6.26593400001585</v>
      </c>
      <c r="AB130" s="1">
        <f t="shared" si="3"/>
        <v>1.83512765944163</v>
      </c>
      <c r="AC130" s="1">
        <v>2.80990248337325</v>
      </c>
      <c r="AD130" s="1">
        <v>0.0126051282051282</v>
      </c>
      <c r="AE130" s="1">
        <v>0.849881649433163</v>
      </c>
      <c r="AF130" s="1">
        <v>14</v>
      </c>
      <c r="AG130" s="1">
        <v>0.426504</v>
      </c>
      <c r="AH130" s="2">
        <v>4.83678</v>
      </c>
      <c r="AI130" s="1">
        <v>51.605504587156</v>
      </c>
      <c r="AJ130" s="1">
        <v>1.75303813381757</v>
      </c>
      <c r="AK130" s="1">
        <v>2.12127412864061</v>
      </c>
      <c r="AL130" s="1">
        <v>2.34222730022179</v>
      </c>
      <c r="AM130" s="1">
        <v>2.519500016318</v>
      </c>
      <c r="AN130" s="1">
        <v>142</v>
      </c>
      <c r="AO130" s="1">
        <v>0.0732492</v>
      </c>
      <c r="AP130" s="1">
        <v>0.04608469</v>
      </c>
      <c r="AQ130" s="1">
        <v>0.0717966</v>
      </c>
      <c r="AR130" s="1">
        <v>0.09405257</v>
      </c>
      <c r="AS130" s="1">
        <v>0.04647724</v>
      </c>
      <c r="AT130" s="1">
        <v>0.09293445</v>
      </c>
      <c r="AU130" s="1">
        <v>0.03693351</v>
      </c>
      <c r="AV130" s="1">
        <v>0.04452864</v>
      </c>
      <c r="AW130" s="1">
        <v>0.05360763</v>
      </c>
      <c r="AX130" s="1">
        <v>0.03163</v>
      </c>
      <c r="AY130" s="1">
        <v>0.04441397</v>
      </c>
      <c r="AZ130" s="1">
        <v>5765</v>
      </c>
      <c r="BA130" s="1">
        <v>49.16</v>
      </c>
      <c r="BB130" s="1">
        <f t="shared" si="4"/>
        <v>8.65956043270316</v>
      </c>
      <c r="BC130" s="1">
        <v>0.000572</v>
      </c>
      <c r="BD130" s="1">
        <v>597.23</v>
      </c>
      <c r="BE130" s="1">
        <v>0.847054958343506</v>
      </c>
      <c r="BF130" s="1">
        <v>2.226702</v>
      </c>
      <c r="BG130" s="1">
        <v>1.71922</v>
      </c>
      <c r="BH130" s="1">
        <v>4192.92947164938</v>
      </c>
      <c r="BI130" s="1">
        <f t="shared" si="5"/>
        <v>8.3411549265307</v>
      </c>
      <c r="BJ130" s="1">
        <v>7.0664</v>
      </c>
      <c r="BK130" s="1">
        <v>44655.93</v>
      </c>
      <c r="BL130" s="1">
        <v>51.605504587156</v>
      </c>
      <c r="BM130" s="1">
        <v>268954</v>
      </c>
      <c r="BN130" s="1">
        <v>2870000</v>
      </c>
      <c r="BO130" s="1">
        <v>0.0937</v>
      </c>
      <c r="BP130" s="1">
        <v>0.538991</v>
      </c>
      <c r="BQ130" s="1">
        <v>51.605505</v>
      </c>
      <c r="BR130" s="1">
        <v>20697.3</v>
      </c>
      <c r="BS130" s="3">
        <v>2000000</v>
      </c>
    </row>
    <row r="131" spans="1:71">
      <c r="A131" s="1" t="s">
        <v>81</v>
      </c>
      <c r="B131" s="1">
        <v>11</v>
      </c>
      <c r="C131" s="1">
        <v>114.499</v>
      </c>
      <c r="D131" s="1">
        <v>23.2427</v>
      </c>
      <c r="E131" s="1">
        <v>2020</v>
      </c>
      <c r="F131" s="1">
        <v>0.290188844415098</v>
      </c>
      <c r="G131" s="1">
        <v>8.11371551914845</v>
      </c>
      <c r="H131" s="1">
        <v>5.65174523448679</v>
      </c>
      <c r="I131" s="1">
        <v>5.66530218031191</v>
      </c>
      <c r="J131" s="1">
        <v>5.60652256329333</v>
      </c>
      <c r="K131" s="1">
        <v>5.68647287316714</v>
      </c>
      <c r="L131" s="1">
        <v>-0.0511581</v>
      </c>
      <c r="M131" s="1">
        <v>9.12580157201065</v>
      </c>
      <c r="N131" s="1">
        <v>4.94876</v>
      </c>
      <c r="O131" s="1">
        <v>11.1589830001221</v>
      </c>
      <c r="P131" s="1">
        <v>283.788054334985</v>
      </c>
      <c r="Q131" s="1">
        <v>287.675199945884</v>
      </c>
      <c r="R131" s="1">
        <v>271.196045825486</v>
      </c>
      <c r="S131" s="1">
        <v>293.851804698631</v>
      </c>
      <c r="T131" s="1">
        <v>77.57</v>
      </c>
      <c r="U131" s="1">
        <v>9188.36</v>
      </c>
      <c r="V131" s="1">
        <v>140</v>
      </c>
      <c r="W131" s="1">
        <v>70190.5351</v>
      </c>
      <c r="X131" s="1">
        <v>0.589590654683237</v>
      </c>
      <c r="Y131" s="1">
        <v>8.85</v>
      </c>
      <c r="Z131" s="1">
        <v>0.5056</v>
      </c>
      <c r="AA131" s="1">
        <v>6.28004953427365</v>
      </c>
      <c r="AB131" s="1">
        <f t="shared" ref="AB131:AB194" si="6">LN(AA131)</f>
        <v>1.83737786807219</v>
      </c>
      <c r="AC131" s="1">
        <v>3.23156109410777</v>
      </c>
      <c r="AD131" s="1">
        <v>0.0163256281407035</v>
      </c>
      <c r="AE131" s="1">
        <v>0.341695172938046</v>
      </c>
      <c r="AF131" s="1">
        <v>114</v>
      </c>
      <c r="AG131" s="1">
        <v>0.40648</v>
      </c>
      <c r="AH131" s="2">
        <v>4.36399</v>
      </c>
      <c r="AI131" s="1">
        <v>51.605504587156</v>
      </c>
      <c r="AJ131" s="1">
        <v>1.75303813381757</v>
      </c>
      <c r="AK131" s="1">
        <v>2.12127412864061</v>
      </c>
      <c r="AL131" s="1">
        <v>2.34222730022179</v>
      </c>
      <c r="AM131" s="1">
        <v>2.519500016318</v>
      </c>
      <c r="AN131" s="1">
        <v>142</v>
      </c>
      <c r="AO131" s="1">
        <v>0.0732492</v>
      </c>
      <c r="AP131" s="1">
        <v>0.04608469</v>
      </c>
      <c r="AQ131" s="1">
        <v>0.0717966</v>
      </c>
      <c r="AR131" s="1">
        <v>0.09405257</v>
      </c>
      <c r="AS131" s="1">
        <v>0.04647724</v>
      </c>
      <c r="AT131" s="1">
        <v>0.09293445</v>
      </c>
      <c r="AU131" s="1">
        <v>0.03693351</v>
      </c>
      <c r="AV131" s="1">
        <v>0.04452864</v>
      </c>
      <c r="AW131" s="1">
        <v>0.05360763</v>
      </c>
      <c r="AX131" s="1">
        <v>0.03163</v>
      </c>
      <c r="AY131" s="1">
        <v>0.04441397</v>
      </c>
      <c r="AZ131" s="1">
        <v>6910</v>
      </c>
      <c r="BA131" s="1">
        <v>64.976</v>
      </c>
      <c r="BB131" s="1">
        <f t="shared" ref="BB131:BB194" si="7">LN(AZ131)</f>
        <v>8.84072491676172</v>
      </c>
      <c r="BC131" s="1">
        <v>0</v>
      </c>
      <c r="BD131" s="1">
        <v>605.72</v>
      </c>
      <c r="BE131" s="1">
        <v>0.875358819961548</v>
      </c>
      <c r="BF131" s="1">
        <v>25.914523</v>
      </c>
      <c r="BG131" s="1">
        <v>1.52385</v>
      </c>
      <c r="BH131" s="1">
        <v>4221.7852</v>
      </c>
      <c r="BI131" s="1">
        <f t="shared" ref="BI131:BI194" si="8">LN(BH131)</f>
        <v>8.34801335075211</v>
      </c>
      <c r="BJ131" s="1">
        <v>7.0664</v>
      </c>
      <c r="BK131" s="1">
        <v>46029.82</v>
      </c>
      <c r="BL131" s="1">
        <v>51.605504587156</v>
      </c>
      <c r="BM131" s="1">
        <v>268954</v>
      </c>
      <c r="BN131" s="1">
        <v>2870000</v>
      </c>
      <c r="BO131" s="1">
        <v>0.0937</v>
      </c>
      <c r="BP131" s="1">
        <v>0.538991</v>
      </c>
      <c r="BQ131" s="1">
        <v>51.605505</v>
      </c>
      <c r="BR131" s="1">
        <v>20697.3</v>
      </c>
      <c r="BS131" s="3">
        <v>2000000</v>
      </c>
    </row>
    <row r="132" spans="1:71">
      <c r="A132" s="1" t="s">
        <v>81</v>
      </c>
      <c r="B132" s="1">
        <v>11</v>
      </c>
      <c r="C132" s="1">
        <v>114.499</v>
      </c>
      <c r="D132" s="1">
        <v>23.2427</v>
      </c>
      <c r="E132" s="1">
        <v>2021</v>
      </c>
      <c r="F132" s="1">
        <v>0.311267380569275</v>
      </c>
      <c r="G132" s="1">
        <v>8.17510165815913</v>
      </c>
      <c r="H132" s="1">
        <v>5.74564001729137</v>
      </c>
      <c r="I132" s="1">
        <v>5.78372349592908</v>
      </c>
      <c r="J132" s="1">
        <v>5.69066957413734</v>
      </c>
      <c r="K132" s="1">
        <v>5.71423079568309</v>
      </c>
      <c r="L132" s="1">
        <v>-0.0511581</v>
      </c>
      <c r="M132" s="1">
        <v>8.01633440001743</v>
      </c>
      <c r="N132" s="1">
        <v>5.42495</v>
      </c>
      <c r="O132" s="1">
        <v>10.9473425417922</v>
      </c>
      <c r="P132" s="1">
        <v>311.823776367421</v>
      </c>
      <c r="Q132" s="1">
        <v>323.966953563339</v>
      </c>
      <c r="R132" s="1">
        <v>295.09180967247</v>
      </c>
      <c r="S132" s="1">
        <v>302.150928618106</v>
      </c>
      <c r="T132" s="1">
        <v>111.08</v>
      </c>
      <c r="U132" s="1">
        <v>3029.05</v>
      </c>
      <c r="V132" s="1">
        <v>226</v>
      </c>
      <c r="W132" s="1">
        <v>56801.8933</v>
      </c>
      <c r="X132" s="1">
        <v>0.613797482725833</v>
      </c>
      <c r="Y132" s="1">
        <v>8.93</v>
      </c>
      <c r="Z132" s="1">
        <v>0.5331</v>
      </c>
      <c r="AA132" s="1">
        <v>6.28150129643967</v>
      </c>
      <c r="AB132" s="1">
        <f t="shared" si="6"/>
        <v>1.83760901185246</v>
      </c>
      <c r="AC132" s="1">
        <v>3.07670429551601</v>
      </c>
      <c r="AD132" s="1">
        <v>0.0172182266009852</v>
      </c>
      <c r="AE132" s="1">
        <v>0.811402508551881</v>
      </c>
      <c r="AF132" s="1">
        <v>48</v>
      </c>
      <c r="AG132" s="1">
        <v>0.47396</v>
      </c>
      <c r="AH132" s="2">
        <v>4.71921</v>
      </c>
      <c r="AI132" s="1">
        <v>51.605504587156</v>
      </c>
      <c r="AJ132" s="1">
        <v>1.75303813381757</v>
      </c>
      <c r="AK132" s="1">
        <v>2.12127412864061</v>
      </c>
      <c r="AL132" s="1">
        <v>2.34222730022179</v>
      </c>
      <c r="AM132" s="1">
        <v>2.519500016318</v>
      </c>
      <c r="AN132" s="1">
        <v>142</v>
      </c>
      <c r="AO132" s="1">
        <v>0.0732492</v>
      </c>
      <c r="AP132" s="1">
        <v>0.04608469</v>
      </c>
      <c r="AQ132" s="1">
        <v>0.0717966</v>
      </c>
      <c r="AR132" s="1">
        <v>0.09405257</v>
      </c>
      <c r="AS132" s="1">
        <v>0.04647724</v>
      </c>
      <c r="AT132" s="1">
        <v>0.09293445</v>
      </c>
      <c r="AU132" s="1">
        <v>0.03693351</v>
      </c>
      <c r="AV132" s="1">
        <v>0.04452864</v>
      </c>
      <c r="AW132" s="1">
        <v>0.05360763</v>
      </c>
      <c r="AX132" s="1">
        <v>0.03163</v>
      </c>
      <c r="AY132" s="1">
        <v>0.04441397</v>
      </c>
      <c r="AZ132" s="1">
        <v>7226</v>
      </c>
      <c r="BA132" s="1">
        <v>69.906</v>
      </c>
      <c r="BB132" s="1">
        <f t="shared" si="7"/>
        <v>8.88544091170758</v>
      </c>
      <c r="BC132" s="1">
        <v>0</v>
      </c>
      <c r="BD132" s="1">
        <v>606.6</v>
      </c>
      <c r="BE132" s="1">
        <v>0.788635611534119</v>
      </c>
      <c r="BF132" s="1">
        <v>2805.1648103</v>
      </c>
      <c r="BG132" s="1">
        <v>1.05151</v>
      </c>
      <c r="BH132" s="1">
        <v>4977.3601</v>
      </c>
      <c r="BI132" s="1">
        <f t="shared" si="8"/>
        <v>8.5126549290642</v>
      </c>
      <c r="BJ132" s="1">
        <v>7.0664</v>
      </c>
      <c r="BK132" s="1">
        <v>53305.65</v>
      </c>
      <c r="BL132" s="1">
        <v>51.605504587156</v>
      </c>
      <c r="BM132" s="1">
        <v>268954</v>
      </c>
      <c r="BN132" s="1">
        <v>2870000</v>
      </c>
      <c r="BO132" s="1">
        <v>0.0937</v>
      </c>
      <c r="BP132" s="1">
        <v>0.538991</v>
      </c>
      <c r="BQ132" s="1">
        <v>51.605505</v>
      </c>
      <c r="BR132" s="1">
        <v>20697.3</v>
      </c>
      <c r="BS132" s="3">
        <v>2000000</v>
      </c>
    </row>
    <row r="133" spans="1:71">
      <c r="A133" s="1" t="s">
        <v>81</v>
      </c>
      <c r="B133" s="1">
        <v>11</v>
      </c>
      <c r="C133" s="1">
        <v>114.499</v>
      </c>
      <c r="D133" s="1">
        <v>23.2427</v>
      </c>
      <c r="E133" s="1">
        <v>2022</v>
      </c>
      <c r="F133" s="1">
        <v>0.308115660325054</v>
      </c>
      <c r="G133" s="1">
        <v>7.90636577575845</v>
      </c>
      <c r="H133" s="1">
        <v>5.76726974905249</v>
      </c>
      <c r="I133" s="1">
        <v>5.85193264624624</v>
      </c>
      <c r="J133" s="1">
        <v>5.60690997182724</v>
      </c>
      <c r="K133" s="1">
        <v>5.74457985127343</v>
      </c>
      <c r="L133" s="1">
        <v>-0.0511581</v>
      </c>
      <c r="M133" s="1">
        <v>9.77059309987941</v>
      </c>
      <c r="N133" s="1">
        <v>5.293305</v>
      </c>
      <c r="O133" s="1">
        <v>11.3981653556645</v>
      </c>
      <c r="P133" s="1">
        <v>318.663777754078</v>
      </c>
      <c r="Q133" s="1">
        <v>346.906110633976</v>
      </c>
      <c r="R133" s="1">
        <v>271.30151732709</v>
      </c>
      <c r="S133" s="1">
        <v>311.492306996853</v>
      </c>
      <c r="T133" s="1">
        <v>98.24</v>
      </c>
      <c r="U133" s="1">
        <v>17510.15</v>
      </c>
      <c r="V133" s="1">
        <v>198</v>
      </c>
      <c r="W133" s="1">
        <v>89157</v>
      </c>
      <c r="X133" s="1">
        <v>0.572274589455991</v>
      </c>
      <c r="Y133" s="1">
        <v>7.29</v>
      </c>
      <c r="Z133" s="1">
        <v>0.5591</v>
      </c>
      <c r="AA133" s="1">
        <v>6.27889321652088</v>
      </c>
      <c r="AB133" s="1">
        <f t="shared" si="6"/>
        <v>1.83719372554061</v>
      </c>
      <c r="AC133" s="1">
        <v>3.12541000339219</v>
      </c>
      <c r="AD133" s="1">
        <v>0.0177038461538462</v>
      </c>
      <c r="AE133" s="1">
        <v>1.15491559086395</v>
      </c>
      <c r="AF133" s="1">
        <v>66</v>
      </c>
      <c r="AG133" s="1">
        <v>0.491736</v>
      </c>
      <c r="AH133" s="2">
        <v>4.59754</v>
      </c>
      <c r="AI133" s="1">
        <v>51.605504587156</v>
      </c>
      <c r="AJ133" s="1">
        <v>1.75303813381757</v>
      </c>
      <c r="AK133" s="1">
        <v>2.12127412864061</v>
      </c>
      <c r="AL133" s="1">
        <v>2.34222730022179</v>
      </c>
      <c r="AM133" s="1">
        <v>2.519500016318</v>
      </c>
      <c r="AN133" s="1">
        <v>142</v>
      </c>
      <c r="AO133" s="1">
        <v>0.0732492</v>
      </c>
      <c r="AP133" s="1">
        <v>0.04608469</v>
      </c>
      <c r="AQ133" s="1">
        <v>0.0717966</v>
      </c>
      <c r="AR133" s="1">
        <v>0.09405257</v>
      </c>
      <c r="AS133" s="1">
        <v>0.04647724</v>
      </c>
      <c r="AT133" s="1">
        <v>0.09293445</v>
      </c>
      <c r="AU133" s="1">
        <v>0.03693351</v>
      </c>
      <c r="AV133" s="1">
        <v>0.04452864</v>
      </c>
      <c r="AW133" s="1">
        <v>0.05360763</v>
      </c>
      <c r="AX133" s="1">
        <v>0.03163</v>
      </c>
      <c r="AY133" s="1">
        <v>0.04441397</v>
      </c>
      <c r="AZ133" s="1">
        <v>7062</v>
      </c>
      <c r="BA133" s="1">
        <v>73.648</v>
      </c>
      <c r="BB133" s="1">
        <f t="shared" si="7"/>
        <v>8.86248357648833</v>
      </c>
      <c r="BC133" s="1">
        <v>0</v>
      </c>
      <c r="BD133" s="1">
        <v>605.02</v>
      </c>
      <c r="BE133" s="1">
        <v>0.696688930318192</v>
      </c>
      <c r="BF133" s="1">
        <v>142301.7578411</v>
      </c>
      <c r="BG133" s="1">
        <v>0.241932</v>
      </c>
      <c r="BH133" s="1">
        <v>5401.24</v>
      </c>
      <c r="BI133" s="1">
        <f t="shared" si="8"/>
        <v>8.59438383582115</v>
      </c>
      <c r="BJ133" s="1">
        <v>7.0664</v>
      </c>
      <c r="BK133" s="1">
        <v>55621.16</v>
      </c>
      <c r="BL133" s="1">
        <v>51.605504587156</v>
      </c>
      <c r="BM133" s="1">
        <v>268954</v>
      </c>
      <c r="BN133" s="1">
        <v>2870000</v>
      </c>
      <c r="BO133" s="1">
        <v>0.0937</v>
      </c>
      <c r="BP133" s="1">
        <v>0.538991</v>
      </c>
      <c r="BQ133" s="1">
        <v>51.605505</v>
      </c>
      <c r="BR133" s="1">
        <v>20697.3</v>
      </c>
      <c r="BS133" s="3">
        <v>2000000</v>
      </c>
    </row>
    <row r="134" spans="1:71">
      <c r="A134" s="1" t="s">
        <v>82</v>
      </c>
      <c r="B134" s="1">
        <v>12</v>
      </c>
      <c r="C134" s="1">
        <v>116.079</v>
      </c>
      <c r="D134" s="1">
        <v>24.2028</v>
      </c>
      <c r="E134" s="1">
        <v>2011</v>
      </c>
      <c r="F134" s="1">
        <v>0.473992714283175</v>
      </c>
      <c r="G134" s="1">
        <v>6.97817599914116</v>
      </c>
      <c r="H134" s="1">
        <v>3.85629885665578</v>
      </c>
      <c r="I134" s="1">
        <v>3.58379667766078</v>
      </c>
      <c r="J134" s="1">
        <v>4.230040277676</v>
      </c>
      <c r="K134" s="1">
        <v>3.82056539493931</v>
      </c>
      <c r="L134" s="1">
        <v>0.6424678</v>
      </c>
      <c r="M134" s="1">
        <v>0</v>
      </c>
      <c r="N134" s="1">
        <v>1.0986123</v>
      </c>
      <c r="O134" s="1">
        <v>9.718602713339</v>
      </c>
      <c r="P134" s="1">
        <v>46.29</v>
      </c>
      <c r="Q134" s="1">
        <v>35.01</v>
      </c>
      <c r="R134" s="1">
        <v>67.72</v>
      </c>
      <c r="S134" s="1">
        <v>44.63</v>
      </c>
      <c r="T134" s="1">
        <v>46.74</v>
      </c>
      <c r="U134" s="1">
        <v>0</v>
      </c>
      <c r="V134" s="1">
        <v>2</v>
      </c>
      <c r="W134" s="1">
        <v>16623</v>
      </c>
      <c r="X134" s="1">
        <v>0.12458951245773</v>
      </c>
      <c r="Y134" s="1">
        <v>11.35</v>
      </c>
      <c r="Z134" s="1">
        <v>0.3995</v>
      </c>
      <c r="AA134" s="1">
        <v>5.59449350778691</v>
      </c>
      <c r="AB134" s="1">
        <f t="shared" si="6"/>
        <v>1.72178281180146</v>
      </c>
      <c r="AC134" s="1">
        <v>1.87877715442565</v>
      </c>
      <c r="AD134" s="1">
        <v>0.00671889489953632</v>
      </c>
      <c r="AE134" s="1">
        <v>1.3078812473302</v>
      </c>
      <c r="AF134" s="1">
        <v>0</v>
      </c>
      <c r="AG134" s="1">
        <v>0.361708</v>
      </c>
      <c r="AH134" s="2">
        <v>3.86577</v>
      </c>
      <c r="AI134" s="1">
        <v>263.188064802407</v>
      </c>
      <c r="AJ134" s="1">
        <v>0.211985324092947</v>
      </c>
      <c r="AK134" s="1">
        <v>0.22741451830385</v>
      </c>
      <c r="AL134" s="1">
        <v>0.19241947445431</v>
      </c>
      <c r="AM134" s="1">
        <v>0.205613446720166</v>
      </c>
      <c r="AN134" s="1">
        <v>0</v>
      </c>
      <c r="AO134" s="1">
        <v>0.0264904</v>
      </c>
      <c r="AP134" s="1">
        <v>0.05918901</v>
      </c>
      <c r="AQ134" s="1">
        <v>0.03334832</v>
      </c>
      <c r="AR134" s="1">
        <v>0.02729253</v>
      </c>
      <c r="AS134" s="1">
        <v>0.05797667</v>
      </c>
      <c r="AT134" s="1">
        <v>0.03364053</v>
      </c>
      <c r="AU134" s="1">
        <v>0.05773606</v>
      </c>
      <c r="AV134" s="1">
        <v>0.02683388</v>
      </c>
      <c r="AW134" s="1">
        <v>0.07113781</v>
      </c>
      <c r="AX134" s="1">
        <v>0.04002148</v>
      </c>
      <c r="AY134" s="1">
        <v>0.02766861</v>
      </c>
      <c r="AZ134" s="1">
        <v>171</v>
      </c>
      <c r="BA134" s="1">
        <v>22</v>
      </c>
      <c r="BB134" s="1">
        <f t="shared" si="7"/>
        <v>5.14166355650266</v>
      </c>
      <c r="BC134" s="1">
        <v>0.000123</v>
      </c>
      <c r="BD134" s="1">
        <v>517.6</v>
      </c>
      <c r="BE134" s="1">
        <v>0.993738055229187</v>
      </c>
      <c r="BF134" s="1">
        <v>-457.07737</v>
      </c>
      <c r="BG134" s="1">
        <v>2.028139</v>
      </c>
      <c r="BH134" s="1">
        <v>686.706196</v>
      </c>
      <c r="BI134" s="1">
        <f t="shared" si="8"/>
        <v>6.53190653844889</v>
      </c>
      <c r="BJ134" s="1">
        <v>2.460941667</v>
      </c>
      <c r="BM134" s="1">
        <v>189562</v>
      </c>
      <c r="BN134" s="1">
        <v>4850000</v>
      </c>
      <c r="BO134" s="1">
        <v>0.0391</v>
      </c>
      <c r="BP134" s="1">
        <v>0.345134</v>
      </c>
      <c r="BQ134" s="1">
        <v>51.940951</v>
      </c>
      <c r="BR134" s="1">
        <v>13253.1</v>
      </c>
      <c r="BS134" s="3">
        <v>2000000</v>
      </c>
    </row>
    <row r="135" spans="1:71">
      <c r="A135" s="1" t="s">
        <v>82</v>
      </c>
      <c r="B135" s="1">
        <v>12</v>
      </c>
      <c r="C135" s="1">
        <v>116.079</v>
      </c>
      <c r="D135" s="1">
        <v>24.2028</v>
      </c>
      <c r="E135" s="1">
        <v>2012</v>
      </c>
      <c r="F135" s="1">
        <v>0.45295743670365</v>
      </c>
      <c r="G135" s="1">
        <v>7.00827408576132</v>
      </c>
      <c r="H135" s="1">
        <v>4.47881299711156</v>
      </c>
      <c r="I135" s="1">
        <v>4.29959566069472</v>
      </c>
      <c r="J135" s="1">
        <v>4.67348282617017</v>
      </c>
      <c r="K135" s="1">
        <v>4.61986173473108</v>
      </c>
      <c r="L135" s="1">
        <v>0.6424678</v>
      </c>
      <c r="M135" s="1">
        <v>5.22380931437297</v>
      </c>
      <c r="N135" s="1">
        <v>1.3862944</v>
      </c>
      <c r="O135" s="1">
        <v>9.76571862279123</v>
      </c>
      <c r="P135" s="1">
        <v>87.13</v>
      </c>
      <c r="Q135" s="1">
        <v>72.67</v>
      </c>
      <c r="R135" s="1">
        <v>106.07</v>
      </c>
      <c r="S135" s="1">
        <v>100.48</v>
      </c>
      <c r="T135" s="1">
        <v>55.39</v>
      </c>
      <c r="U135" s="1">
        <v>184.64</v>
      </c>
      <c r="V135" s="1">
        <v>3</v>
      </c>
      <c r="W135" s="1">
        <v>17425</v>
      </c>
      <c r="X135" s="1">
        <v>0.127190130767581</v>
      </c>
      <c r="Y135" s="1">
        <v>8.11</v>
      </c>
      <c r="Z135" s="1">
        <v>0.3636</v>
      </c>
      <c r="AA135" s="1">
        <v>5.60094487525933</v>
      </c>
      <c r="AB135" s="1">
        <f t="shared" si="6"/>
        <v>1.72293531123306</v>
      </c>
      <c r="AC135" s="1">
        <v>2.02617523257996</v>
      </c>
      <c r="AD135" s="1">
        <v>0.00423935558112773</v>
      </c>
      <c r="AE135" s="1">
        <v>1.40194420963652</v>
      </c>
      <c r="AF135" s="1">
        <v>3</v>
      </c>
      <c r="AG135" s="1">
        <v>0.341504</v>
      </c>
      <c r="AH135" s="2">
        <v>4.03229</v>
      </c>
      <c r="AI135" s="1">
        <v>263.188064802407</v>
      </c>
      <c r="AJ135" s="1">
        <v>0.211985324092947</v>
      </c>
      <c r="AK135" s="1">
        <v>0.22741451830385</v>
      </c>
      <c r="AL135" s="1">
        <v>0.19241947445431</v>
      </c>
      <c r="AM135" s="1">
        <v>0.205613446720166</v>
      </c>
      <c r="AN135" s="1">
        <v>0</v>
      </c>
      <c r="AO135" s="1">
        <v>0.0264904</v>
      </c>
      <c r="AP135" s="1">
        <v>0.05918901</v>
      </c>
      <c r="AQ135" s="1">
        <v>0.03334832</v>
      </c>
      <c r="AR135" s="1">
        <v>0.02729253</v>
      </c>
      <c r="AS135" s="1">
        <v>0.05797667</v>
      </c>
      <c r="AT135" s="1">
        <v>0.03364053</v>
      </c>
      <c r="AU135" s="1">
        <v>0.05773606</v>
      </c>
      <c r="AV135" s="1">
        <v>0.02683388</v>
      </c>
      <c r="AW135" s="1">
        <v>0.07113781</v>
      </c>
      <c r="AX135" s="1">
        <v>0.04002148</v>
      </c>
      <c r="AY135" s="1">
        <v>0.02766861</v>
      </c>
      <c r="AZ135" s="1">
        <v>256</v>
      </c>
      <c r="BA135" s="1">
        <v>22.104</v>
      </c>
      <c r="BB135" s="1">
        <f t="shared" si="7"/>
        <v>5.54517744447956</v>
      </c>
      <c r="BC135" s="1">
        <v>0.000205</v>
      </c>
      <c r="BD135" s="1">
        <v>521.4</v>
      </c>
      <c r="BE135" s="1">
        <v>1.16361892223358</v>
      </c>
      <c r="BF135" s="1">
        <v>-122.392756</v>
      </c>
      <c r="BG135" s="1">
        <v>1.941042</v>
      </c>
      <c r="BH135" s="1">
        <v>737.599209</v>
      </c>
      <c r="BI135" s="1">
        <f t="shared" si="8"/>
        <v>6.60340059984485</v>
      </c>
      <c r="BJ135" s="1">
        <v>2.460941667</v>
      </c>
      <c r="BM135" s="1">
        <v>189562</v>
      </c>
      <c r="BN135" s="1">
        <v>4850000</v>
      </c>
      <c r="BO135" s="1">
        <v>0.0391</v>
      </c>
      <c r="BP135" s="1">
        <v>0.345134</v>
      </c>
      <c r="BQ135" s="1">
        <v>51.940951</v>
      </c>
      <c r="BR135" s="1">
        <v>13253.1</v>
      </c>
      <c r="BS135" s="3">
        <v>2000000</v>
      </c>
    </row>
    <row r="136" spans="1:71">
      <c r="A136" s="1" t="s">
        <v>82</v>
      </c>
      <c r="B136" s="1">
        <v>12</v>
      </c>
      <c r="C136" s="1">
        <v>116.079</v>
      </c>
      <c r="D136" s="1">
        <v>24.2028</v>
      </c>
      <c r="E136" s="1">
        <v>2013</v>
      </c>
      <c r="F136" s="1">
        <v>0.439570870784111</v>
      </c>
      <c r="G136" s="1">
        <v>7.04488399659247</v>
      </c>
      <c r="H136" s="1">
        <v>4.85592890433527</v>
      </c>
      <c r="I136" s="1">
        <v>4.65023914935566</v>
      </c>
      <c r="J136" s="1">
        <v>4.96298448062025</v>
      </c>
      <c r="K136" s="1">
        <v>5.19855227835846</v>
      </c>
      <c r="L136" s="1">
        <v>0.6424678</v>
      </c>
      <c r="M136" s="1">
        <v>2.89037175789616</v>
      </c>
      <c r="N136" s="1">
        <v>0</v>
      </c>
      <c r="O136" s="1">
        <v>9.83113189034398</v>
      </c>
      <c r="P136" s="1">
        <v>127.5</v>
      </c>
      <c r="Q136" s="1">
        <v>103.61</v>
      </c>
      <c r="R136" s="1">
        <v>142.02</v>
      </c>
      <c r="S136" s="1">
        <v>180.01</v>
      </c>
      <c r="T136" s="1">
        <v>62.6</v>
      </c>
      <c r="U136" s="1">
        <v>17</v>
      </c>
      <c r="V136" s="1">
        <v>0</v>
      </c>
      <c r="W136" s="1">
        <v>18603</v>
      </c>
      <c r="X136" s="1">
        <v>0.136461540861494</v>
      </c>
      <c r="Y136" s="1">
        <v>2.89</v>
      </c>
      <c r="Z136" s="1">
        <v>0.362</v>
      </c>
      <c r="AA136" s="1">
        <v>5.60388146001895</v>
      </c>
      <c r="AB136" s="1">
        <f t="shared" si="6"/>
        <v>1.72345947550638</v>
      </c>
      <c r="AC136" s="1">
        <v>2.23257857229641</v>
      </c>
      <c r="AD136" s="1">
        <v>0.00422571428571429</v>
      </c>
      <c r="AE136" s="1">
        <v>0.788151840490798</v>
      </c>
      <c r="AF136" s="1">
        <v>3</v>
      </c>
      <c r="AG136" s="1">
        <v>0.34056</v>
      </c>
      <c r="AH136" s="2">
        <v>4.15261</v>
      </c>
      <c r="AI136" s="1">
        <v>263.188064802407</v>
      </c>
      <c r="AJ136" s="1">
        <v>0.211985324092947</v>
      </c>
      <c r="AK136" s="1">
        <v>0.22741451830385</v>
      </c>
      <c r="AL136" s="1">
        <v>0.19241947445431</v>
      </c>
      <c r="AM136" s="1">
        <v>0.205613446720166</v>
      </c>
      <c r="AN136" s="1">
        <v>0</v>
      </c>
      <c r="AO136" s="1">
        <v>0.0264904</v>
      </c>
      <c r="AP136" s="1">
        <v>0.05918901</v>
      </c>
      <c r="AQ136" s="1">
        <v>0.03334832</v>
      </c>
      <c r="AR136" s="1">
        <v>0.02729253</v>
      </c>
      <c r="AS136" s="1">
        <v>0.05797667</v>
      </c>
      <c r="AT136" s="1">
        <v>0.03364053</v>
      </c>
      <c r="AU136" s="1">
        <v>0.05773606</v>
      </c>
      <c r="AV136" s="1">
        <v>0.02683388</v>
      </c>
      <c r="AW136" s="1">
        <v>0.07113781</v>
      </c>
      <c r="AX136" s="1">
        <v>0.04002148</v>
      </c>
      <c r="AY136" s="1">
        <v>0.02766861</v>
      </c>
      <c r="AZ136" s="1">
        <v>262</v>
      </c>
      <c r="BA136" s="1">
        <v>22.185</v>
      </c>
      <c r="BB136" s="1">
        <f t="shared" si="7"/>
        <v>5.5683445037611</v>
      </c>
      <c r="BC136" s="1">
        <v>0.000399</v>
      </c>
      <c r="BD136" s="1">
        <v>525</v>
      </c>
      <c r="BE136" s="1">
        <v>1.19391596317291</v>
      </c>
      <c r="BF136" s="1">
        <v>-165.71204</v>
      </c>
      <c r="BG136" s="1">
        <v>0.736328</v>
      </c>
      <c r="BH136" s="1">
        <v>790.821405</v>
      </c>
      <c r="BI136" s="1">
        <f t="shared" si="8"/>
        <v>6.6730721584567</v>
      </c>
      <c r="BJ136" s="1">
        <v>2.460941667</v>
      </c>
      <c r="BM136" s="1">
        <v>189562</v>
      </c>
      <c r="BN136" s="1">
        <v>4850000</v>
      </c>
      <c r="BO136" s="1">
        <v>0.0391</v>
      </c>
      <c r="BP136" s="1">
        <v>0.345134</v>
      </c>
      <c r="BQ136" s="1">
        <v>51.940951</v>
      </c>
      <c r="BR136" s="1">
        <v>13253.1</v>
      </c>
      <c r="BS136" s="3">
        <v>2000000</v>
      </c>
    </row>
    <row r="137" spans="1:71">
      <c r="A137" s="1" t="s">
        <v>82</v>
      </c>
      <c r="B137" s="1">
        <v>12</v>
      </c>
      <c r="C137" s="1">
        <v>116.079</v>
      </c>
      <c r="D137" s="1">
        <v>24.2028</v>
      </c>
      <c r="E137" s="1">
        <v>2014</v>
      </c>
      <c r="F137" s="1">
        <v>0.403019263744877</v>
      </c>
      <c r="G137" s="1">
        <v>6.50733423496668</v>
      </c>
      <c r="H137" s="1">
        <v>4.94207090222737</v>
      </c>
      <c r="I137" s="1">
        <v>4.91852000518845</v>
      </c>
      <c r="J137" s="1">
        <v>4.87786551613154</v>
      </c>
      <c r="K137" s="1">
        <v>5.11589580475374</v>
      </c>
      <c r="L137" s="1">
        <v>0.6424678</v>
      </c>
      <c r="M137" s="1">
        <v>0</v>
      </c>
      <c r="N137" s="1">
        <v>2.1972246</v>
      </c>
      <c r="O137" s="1">
        <v>9.92964251001297</v>
      </c>
      <c r="P137" s="1">
        <v>139.06</v>
      </c>
      <c r="Q137" s="1">
        <v>135.8</v>
      </c>
      <c r="R137" s="1">
        <v>130.35</v>
      </c>
      <c r="S137" s="1">
        <v>165.65</v>
      </c>
      <c r="T137" s="1">
        <v>71.02</v>
      </c>
      <c r="U137" s="1">
        <v>0</v>
      </c>
      <c r="V137" s="1">
        <v>8</v>
      </c>
      <c r="W137" s="1">
        <v>20529</v>
      </c>
      <c r="X137" s="1">
        <v>0.151348061142946</v>
      </c>
      <c r="Y137" s="1">
        <v>9.79</v>
      </c>
      <c r="Z137" s="1">
        <v>0.373100000011289</v>
      </c>
      <c r="AA137" s="1">
        <v>5.60765885347727</v>
      </c>
      <c r="AB137" s="1">
        <f t="shared" si="6"/>
        <v>1.72413331576305</v>
      </c>
      <c r="AC137" s="1">
        <v>2.31119631346061</v>
      </c>
      <c r="AD137" s="1">
        <v>0.00444930003783579</v>
      </c>
      <c r="AE137" s="1">
        <v>1.26582792207792</v>
      </c>
      <c r="AF137" s="1">
        <v>0</v>
      </c>
      <c r="AG137" s="1">
        <v>0.3893</v>
      </c>
      <c r="AH137" s="2">
        <v>4.27694</v>
      </c>
      <c r="AI137" s="1">
        <v>263.188064802407</v>
      </c>
      <c r="AJ137" s="1">
        <v>0.211985324092947</v>
      </c>
      <c r="AK137" s="1">
        <v>0.22741451830385</v>
      </c>
      <c r="AL137" s="1">
        <v>0.19241947445431</v>
      </c>
      <c r="AM137" s="1">
        <v>0.205613446720166</v>
      </c>
      <c r="AN137" s="1">
        <v>0</v>
      </c>
      <c r="AO137" s="1">
        <v>0.0264904</v>
      </c>
      <c r="AP137" s="1">
        <v>0.05918901</v>
      </c>
      <c r="AQ137" s="1">
        <v>0.03334832</v>
      </c>
      <c r="AR137" s="1">
        <v>0.02729253</v>
      </c>
      <c r="AS137" s="1">
        <v>0.05797667</v>
      </c>
      <c r="AT137" s="1">
        <v>0.03364053</v>
      </c>
      <c r="AU137" s="1">
        <v>0.05773606</v>
      </c>
      <c r="AV137" s="1">
        <v>0.02683388</v>
      </c>
      <c r="AW137" s="1">
        <v>0.07113781</v>
      </c>
      <c r="AX137" s="1">
        <v>0.04002148</v>
      </c>
      <c r="AY137" s="1">
        <v>0.02766861</v>
      </c>
      <c r="AZ137" s="1">
        <v>688</v>
      </c>
      <c r="BA137" s="1">
        <v>23.519</v>
      </c>
      <c r="BB137" s="1">
        <f t="shared" si="7"/>
        <v>6.53378883793334</v>
      </c>
      <c r="BC137" s="1">
        <v>0</v>
      </c>
      <c r="BD137" s="1">
        <v>410.53</v>
      </c>
      <c r="BE137" s="1">
        <v>1.15167462825775</v>
      </c>
      <c r="BF137" s="1">
        <v>-95.763447</v>
      </c>
      <c r="BG137" s="1">
        <v>1.913688</v>
      </c>
      <c r="BH137" s="1">
        <v>870.732291</v>
      </c>
      <c r="BI137" s="1">
        <f t="shared" si="8"/>
        <v>6.76933457139933</v>
      </c>
      <c r="BJ137" s="1">
        <v>2.460941667</v>
      </c>
      <c r="BM137" s="1">
        <v>189562</v>
      </c>
      <c r="BN137" s="1">
        <v>4850000</v>
      </c>
      <c r="BO137" s="1">
        <v>0.0391</v>
      </c>
      <c r="BP137" s="1">
        <v>0.345134</v>
      </c>
      <c r="BQ137" s="1">
        <v>51.940951</v>
      </c>
      <c r="BR137" s="1">
        <v>13253.1</v>
      </c>
      <c r="BS137" s="3">
        <v>2000000</v>
      </c>
    </row>
    <row r="138" spans="1:71">
      <c r="A138" s="1" t="s">
        <v>82</v>
      </c>
      <c r="B138" s="1">
        <v>12</v>
      </c>
      <c r="C138" s="1">
        <v>116.079</v>
      </c>
      <c r="D138" s="1">
        <v>24.2028</v>
      </c>
      <c r="E138" s="1">
        <v>2015</v>
      </c>
      <c r="F138" s="1">
        <v>0.40854668416854</v>
      </c>
      <c r="G138" s="1">
        <v>6.57552380579913</v>
      </c>
      <c r="H138" s="1">
        <v>5.10878990950375</v>
      </c>
      <c r="I138" s="1">
        <v>5.04219855855237</v>
      </c>
      <c r="J138" s="1">
        <v>4.97611286005783</v>
      </c>
      <c r="K138" s="1">
        <v>5.47235470375429</v>
      </c>
      <c r="L138" s="1">
        <v>0.6424678</v>
      </c>
      <c r="M138" s="1">
        <v>7.0855666802982</v>
      </c>
      <c r="N138" s="1">
        <v>1.609438</v>
      </c>
      <c r="O138" s="1">
        <v>10.0058636191529</v>
      </c>
      <c r="P138" s="1">
        <v>164.47</v>
      </c>
      <c r="Q138" s="1">
        <v>153.81</v>
      </c>
      <c r="R138" s="1">
        <v>143.91</v>
      </c>
      <c r="S138" s="1">
        <v>237.02</v>
      </c>
      <c r="T138" s="1">
        <v>71.77</v>
      </c>
      <c r="U138" s="1">
        <v>1193.6</v>
      </c>
      <c r="V138" s="1">
        <v>4</v>
      </c>
      <c r="W138" s="1">
        <v>22155</v>
      </c>
      <c r="X138" s="1">
        <v>0.158859636409708</v>
      </c>
      <c r="Y138" s="1">
        <v>7.75</v>
      </c>
      <c r="Z138" s="1">
        <v>0.366600000041676</v>
      </c>
      <c r="AA138" s="1">
        <v>5.55021109894293</v>
      </c>
      <c r="AB138" s="1">
        <f t="shared" si="6"/>
        <v>1.71383596288057</v>
      </c>
      <c r="AC138" s="1">
        <v>2.39814796774379</v>
      </c>
      <c r="AD138" s="1">
        <v>0.00465308299159602</v>
      </c>
      <c r="AE138" s="1">
        <v>0.620876988746605</v>
      </c>
      <c r="AF138" s="1">
        <v>2</v>
      </c>
      <c r="AG138" s="1">
        <v>0.37639</v>
      </c>
      <c r="AH138" s="2">
        <v>4.2873</v>
      </c>
      <c r="AI138" s="1">
        <v>263.188064802407</v>
      </c>
      <c r="AJ138" s="1">
        <v>0.211985324092947</v>
      </c>
      <c r="AK138" s="1">
        <v>0.22741451830385</v>
      </c>
      <c r="AL138" s="1">
        <v>0.19241947445431</v>
      </c>
      <c r="AM138" s="1">
        <v>0.205613446720166</v>
      </c>
      <c r="AN138" s="1">
        <v>0</v>
      </c>
      <c r="AO138" s="1">
        <v>0.0264904</v>
      </c>
      <c r="AP138" s="1">
        <v>0.05918901</v>
      </c>
      <c r="AQ138" s="1">
        <v>0.03334832</v>
      </c>
      <c r="AR138" s="1">
        <v>0.02729253</v>
      </c>
      <c r="AS138" s="1">
        <v>0.05797667</v>
      </c>
      <c r="AT138" s="1">
        <v>0.03364053</v>
      </c>
      <c r="AU138" s="1">
        <v>0.05773606</v>
      </c>
      <c r="AV138" s="1">
        <v>0.02683388</v>
      </c>
      <c r="AW138" s="1">
        <v>0.07113781</v>
      </c>
      <c r="AX138" s="1">
        <v>0.04002148</v>
      </c>
      <c r="AY138" s="1">
        <v>0.02766861</v>
      </c>
      <c r="AZ138" s="1">
        <v>906</v>
      </c>
      <c r="BA138" s="1">
        <v>25.303</v>
      </c>
      <c r="BB138" s="1">
        <f t="shared" si="7"/>
        <v>6.80903930604298</v>
      </c>
      <c r="BC138" s="1">
        <v>0</v>
      </c>
      <c r="BD138" s="1">
        <v>407.01</v>
      </c>
      <c r="BE138" s="1">
        <v>1.21954917907715</v>
      </c>
      <c r="BF138" s="1">
        <v>-54.141127</v>
      </c>
      <c r="BG138" s="1">
        <v>1.588332</v>
      </c>
      <c r="BH138" s="1">
        <v>943.579682</v>
      </c>
      <c r="BI138" s="1">
        <f t="shared" si="8"/>
        <v>6.8496808148727</v>
      </c>
      <c r="BJ138" s="1">
        <v>2.460941667</v>
      </c>
      <c r="BM138" s="1">
        <v>189562</v>
      </c>
      <c r="BN138" s="1">
        <v>4850000</v>
      </c>
      <c r="BO138" s="1">
        <v>0.0391</v>
      </c>
      <c r="BP138" s="1">
        <v>0.345134</v>
      </c>
      <c r="BQ138" s="1">
        <v>51.940951</v>
      </c>
      <c r="BR138" s="1">
        <v>13253.1</v>
      </c>
      <c r="BS138" s="3">
        <v>2000000</v>
      </c>
    </row>
    <row r="139" spans="1:71">
      <c r="A139" s="1" t="s">
        <v>82</v>
      </c>
      <c r="B139" s="1">
        <v>12</v>
      </c>
      <c r="C139" s="1">
        <v>116.079</v>
      </c>
      <c r="D139" s="1">
        <v>24.2028</v>
      </c>
      <c r="E139" s="1">
        <v>2016</v>
      </c>
      <c r="F139" s="1">
        <v>0.374828371044257</v>
      </c>
      <c r="G139" s="1">
        <v>6.61823648893014</v>
      </c>
      <c r="H139" s="1">
        <v>5.24512683090437</v>
      </c>
      <c r="I139" s="1">
        <v>5.0857816235894</v>
      </c>
      <c r="J139" s="1">
        <v>5.32215020573672</v>
      </c>
      <c r="K139" s="1">
        <v>5.53849879420527</v>
      </c>
      <c r="L139" s="1">
        <v>0.6424678</v>
      </c>
      <c r="M139" s="1">
        <v>6.32211630613747</v>
      </c>
      <c r="N139" s="1">
        <v>1.9459102</v>
      </c>
      <c r="O139" s="1">
        <v>10.0871831648832</v>
      </c>
      <c r="P139" s="1">
        <v>188.63986587869</v>
      </c>
      <c r="Q139" s="1">
        <v>160.706283257662</v>
      </c>
      <c r="R139" s="1">
        <v>203.823822181648</v>
      </c>
      <c r="S139" s="1">
        <v>253.295962152494</v>
      </c>
      <c r="T139" s="1">
        <v>77.35</v>
      </c>
      <c r="U139" s="1">
        <v>555.75</v>
      </c>
      <c r="V139" s="1">
        <v>6</v>
      </c>
      <c r="W139" s="1">
        <v>24032</v>
      </c>
      <c r="X139" s="1">
        <v>0.146609475358246</v>
      </c>
      <c r="Y139" s="1">
        <v>4.39</v>
      </c>
      <c r="Z139" s="1">
        <v>0.353</v>
      </c>
      <c r="AA139" s="1">
        <v>5.53929030999089</v>
      </c>
      <c r="AB139" s="1">
        <f t="shared" si="6"/>
        <v>1.71186638966359</v>
      </c>
      <c r="AC139" s="1">
        <v>2.52721806009908</v>
      </c>
      <c r="AD139" s="1">
        <v>0.00469582577132486</v>
      </c>
      <c r="AE139" s="1">
        <v>0.798482984829848</v>
      </c>
      <c r="AF139" s="1">
        <v>34</v>
      </c>
      <c r="AG139" s="1">
        <v>0.412776</v>
      </c>
      <c r="AH139" s="2">
        <v>4.36119</v>
      </c>
      <c r="AI139" s="1">
        <v>263.188064802407</v>
      </c>
      <c r="AJ139" s="1">
        <v>0.211985324092947</v>
      </c>
      <c r="AK139" s="1">
        <v>0.22741451830385</v>
      </c>
      <c r="AL139" s="1">
        <v>0.19241947445431</v>
      </c>
      <c r="AM139" s="1">
        <v>0.205613446720166</v>
      </c>
      <c r="AN139" s="1">
        <v>0</v>
      </c>
      <c r="AO139" s="1">
        <v>0.0264904</v>
      </c>
      <c r="AP139" s="1">
        <v>0.05918901</v>
      </c>
      <c r="AQ139" s="1">
        <v>0.03334832</v>
      </c>
      <c r="AR139" s="1">
        <v>0.02729253</v>
      </c>
      <c r="AS139" s="1">
        <v>0.05797667</v>
      </c>
      <c r="AT139" s="1">
        <v>0.03364053</v>
      </c>
      <c r="AU139" s="1">
        <v>0.05773606</v>
      </c>
      <c r="AV139" s="1">
        <v>0.02683388</v>
      </c>
      <c r="AW139" s="1">
        <v>0.07113781</v>
      </c>
      <c r="AX139" s="1">
        <v>0.04002148</v>
      </c>
      <c r="AY139" s="1">
        <v>0.02766861</v>
      </c>
      <c r="AZ139" s="1">
        <v>475</v>
      </c>
      <c r="BA139" s="1">
        <v>25.874</v>
      </c>
      <c r="BB139" s="1">
        <f t="shared" si="7"/>
        <v>6.16331480403464</v>
      </c>
      <c r="BC139" s="1">
        <v>0.000196</v>
      </c>
      <c r="BD139" s="1">
        <v>403.76</v>
      </c>
      <c r="BE139" s="1">
        <v>1.31429374217987</v>
      </c>
      <c r="BF139" s="1">
        <v>-34.29267</v>
      </c>
      <c r="BG139" s="1">
        <v>-70.17897</v>
      </c>
      <c r="BH139" s="1">
        <v>1029.740053</v>
      </c>
      <c r="BI139" s="1">
        <f t="shared" si="8"/>
        <v>6.93706167364341</v>
      </c>
      <c r="BJ139" s="1">
        <v>2.460941667</v>
      </c>
      <c r="BM139" s="1">
        <v>189562</v>
      </c>
      <c r="BN139" s="1">
        <v>4850000</v>
      </c>
      <c r="BO139" s="1">
        <v>0.0391</v>
      </c>
      <c r="BP139" s="1">
        <v>0.345134</v>
      </c>
      <c r="BQ139" s="1">
        <v>51.940951</v>
      </c>
      <c r="BR139" s="1">
        <v>13253.1</v>
      </c>
      <c r="BS139" s="3">
        <v>2000000</v>
      </c>
    </row>
    <row r="140" spans="1:71">
      <c r="A140" s="1" t="s">
        <v>82</v>
      </c>
      <c r="B140" s="1">
        <v>12</v>
      </c>
      <c r="C140" s="1">
        <v>116.079</v>
      </c>
      <c r="D140" s="1">
        <v>24.2028</v>
      </c>
      <c r="E140" s="1">
        <v>2017</v>
      </c>
      <c r="F140" s="1">
        <v>0.289010957101258</v>
      </c>
      <c r="G140" s="1">
        <v>6.76930433007438</v>
      </c>
      <c r="H140" s="1">
        <v>5.38412399532822</v>
      </c>
      <c r="I140" s="1">
        <v>5.20810471275349</v>
      </c>
      <c r="J140" s="1">
        <v>5.54828591598463</v>
      </c>
      <c r="K140" s="1">
        <v>5.57375594083214</v>
      </c>
      <c r="L140" s="1">
        <v>0.6424678</v>
      </c>
      <c r="M140" s="1">
        <v>7.9103411313955</v>
      </c>
      <c r="N140" s="1">
        <v>2.4849067</v>
      </c>
      <c r="O140" s="1">
        <v>10.1114799831043</v>
      </c>
      <c r="P140" s="1">
        <v>216.919122336932</v>
      </c>
      <c r="Q140" s="1">
        <v>181.747370995545</v>
      </c>
      <c r="R140" s="1">
        <v>255.797006752698</v>
      </c>
      <c r="S140" s="1">
        <v>262.421639632507</v>
      </c>
      <c r="T140" s="1">
        <v>83.44</v>
      </c>
      <c r="U140" s="1">
        <v>2724.32</v>
      </c>
      <c r="V140" s="1">
        <v>11</v>
      </c>
      <c r="W140" s="1">
        <v>24623.077</v>
      </c>
      <c r="X140" s="1">
        <v>0.123430248798336</v>
      </c>
      <c r="Y140" s="1">
        <v>13.01</v>
      </c>
      <c r="Z140" s="4">
        <v>0.335</v>
      </c>
      <c r="AA140" s="1">
        <v>5.52998421381691</v>
      </c>
      <c r="AB140" s="1">
        <f t="shared" si="6"/>
        <v>1.71018496088585</v>
      </c>
      <c r="AC140" s="1">
        <v>2.78232758540529</v>
      </c>
      <c r="AD140" s="1">
        <v>0.004626</v>
      </c>
      <c r="AE140" s="1">
        <v>0.615204547987961</v>
      </c>
      <c r="AF140" s="1">
        <v>65</v>
      </c>
      <c r="AG140" s="1">
        <v>0.389018</v>
      </c>
      <c r="AH140" s="2">
        <v>4.43604</v>
      </c>
      <c r="AI140" s="1">
        <v>263.188064802407</v>
      </c>
      <c r="AJ140" s="1">
        <v>0.211985324092947</v>
      </c>
      <c r="AK140" s="1">
        <v>0.22741451830385</v>
      </c>
      <c r="AL140" s="1">
        <v>0.19241947445431</v>
      </c>
      <c r="AM140" s="1">
        <v>0.205613446720166</v>
      </c>
      <c r="AN140" s="1">
        <v>0</v>
      </c>
      <c r="AO140" s="1">
        <v>0.0264904</v>
      </c>
      <c r="AP140" s="1">
        <v>0.05918901</v>
      </c>
      <c r="AQ140" s="1">
        <v>0.03334832</v>
      </c>
      <c r="AR140" s="1">
        <v>0.02729253</v>
      </c>
      <c r="AS140" s="1">
        <v>0.05797667</v>
      </c>
      <c r="AT140" s="1">
        <v>0.03364053</v>
      </c>
      <c r="AU140" s="1">
        <v>0.05773606</v>
      </c>
      <c r="AV140" s="1">
        <v>0.02683388</v>
      </c>
      <c r="AW140" s="1">
        <v>0.07113781</v>
      </c>
      <c r="AX140" s="1">
        <v>0.04002148</v>
      </c>
      <c r="AY140" s="1">
        <v>0.02766861</v>
      </c>
      <c r="AZ140" s="1">
        <v>628</v>
      </c>
      <c r="BA140" s="1">
        <v>25.443</v>
      </c>
      <c r="BB140" s="1">
        <f t="shared" si="7"/>
        <v>6.4425401664682</v>
      </c>
      <c r="BC140" s="1">
        <v>0.000255</v>
      </c>
      <c r="BD140" s="1">
        <v>400.02</v>
      </c>
      <c r="BE140" s="1">
        <v>1.55109429359436</v>
      </c>
      <c r="BF140" s="1">
        <v>28.76841</v>
      </c>
      <c r="BG140" s="1">
        <v>1.201381</v>
      </c>
      <c r="BH140" s="1">
        <v>1086.590722</v>
      </c>
      <c r="BI140" s="1">
        <f t="shared" si="8"/>
        <v>6.99080029552032</v>
      </c>
      <c r="BJ140" s="1">
        <v>2.460941667</v>
      </c>
      <c r="BM140" s="1">
        <v>189562</v>
      </c>
      <c r="BN140" s="1">
        <v>4850000</v>
      </c>
      <c r="BO140" s="1">
        <v>0.0391</v>
      </c>
      <c r="BP140" s="1">
        <v>0.345134</v>
      </c>
      <c r="BQ140" s="1">
        <v>51.940951</v>
      </c>
      <c r="BR140" s="1">
        <v>13253.1</v>
      </c>
      <c r="BS140" s="3">
        <v>2000000</v>
      </c>
    </row>
    <row r="141" spans="1:71">
      <c r="A141" s="1" t="s">
        <v>82</v>
      </c>
      <c r="B141" s="1">
        <v>12</v>
      </c>
      <c r="C141" s="1">
        <v>116.079</v>
      </c>
      <c r="D141" s="1">
        <v>24.2028</v>
      </c>
      <c r="E141" s="1">
        <v>2018</v>
      </c>
      <c r="F141" s="1">
        <v>0.272835740475591</v>
      </c>
      <c r="G141" s="1">
        <v>6.9327171177669</v>
      </c>
      <c r="H141" s="1">
        <v>5.43406838591502</v>
      </c>
      <c r="I141" s="1">
        <v>5.31477460377149</v>
      </c>
      <c r="J141" s="1">
        <v>5.50087450591911</v>
      </c>
      <c r="K141" s="1">
        <v>5.65387401918206</v>
      </c>
      <c r="L141" s="1">
        <v>0.6424678</v>
      </c>
      <c r="M141" s="1">
        <v>5.77041255695396</v>
      </c>
      <c r="N141" s="1">
        <v>1.9459102</v>
      </c>
      <c r="O141" s="1">
        <v>10.1412438162181</v>
      </c>
      <c r="P141" s="1">
        <v>228.079335291449</v>
      </c>
      <c r="Q141" s="1">
        <v>202.31868068938</v>
      </c>
      <c r="R141" s="1">
        <v>243.906010441062</v>
      </c>
      <c r="S141" s="1">
        <v>284.394952539929</v>
      </c>
      <c r="T141" s="1">
        <v>88.12</v>
      </c>
      <c r="U141" s="1">
        <v>319.67</v>
      </c>
      <c r="V141" s="1">
        <v>6</v>
      </c>
      <c r="W141" s="1">
        <v>25367</v>
      </c>
      <c r="X141" s="1">
        <v>0.121784075186273</v>
      </c>
      <c r="Y141" s="1">
        <v>12.74</v>
      </c>
      <c r="Z141" s="1">
        <v>0.321300000009007</v>
      </c>
      <c r="AA141" s="1">
        <v>5.51864573929701</v>
      </c>
      <c r="AB141" s="1">
        <f t="shared" si="6"/>
        <v>1.70813249310506</v>
      </c>
      <c r="AC141" s="1">
        <v>2.97652090818945</v>
      </c>
      <c r="AD141" s="1">
        <v>0.00456532846715328</v>
      </c>
      <c r="AE141" s="1">
        <v>0.925048293625241</v>
      </c>
      <c r="AF141" s="1">
        <v>33</v>
      </c>
      <c r="AG141" s="1">
        <v>0.397708</v>
      </c>
      <c r="AH141" s="2">
        <v>4.48998</v>
      </c>
      <c r="AI141" s="1">
        <v>263.188064802407</v>
      </c>
      <c r="AJ141" s="1">
        <v>0.211985324092947</v>
      </c>
      <c r="AK141" s="1">
        <v>0.22741451830385</v>
      </c>
      <c r="AL141" s="1">
        <v>0.19241947445431</v>
      </c>
      <c r="AM141" s="1">
        <v>0.205613446720166</v>
      </c>
      <c r="AN141" s="1">
        <v>0</v>
      </c>
      <c r="AO141" s="1">
        <v>0.0264904</v>
      </c>
      <c r="AP141" s="1">
        <v>0.05918901</v>
      </c>
      <c r="AQ141" s="1">
        <v>0.03334832</v>
      </c>
      <c r="AR141" s="1">
        <v>0.02729253</v>
      </c>
      <c r="AS141" s="1">
        <v>0.05797667</v>
      </c>
      <c r="AT141" s="1">
        <v>0.03364053</v>
      </c>
      <c r="AU141" s="1">
        <v>0.05773606</v>
      </c>
      <c r="AV141" s="1">
        <v>0.02683388</v>
      </c>
      <c r="AW141" s="1">
        <v>0.07113781</v>
      </c>
      <c r="AX141" s="1">
        <v>0.04002148</v>
      </c>
      <c r="AY141" s="1">
        <v>0.02766861</v>
      </c>
      <c r="AZ141" s="1">
        <v>789</v>
      </c>
      <c r="BA141" s="1">
        <v>25.018</v>
      </c>
      <c r="BB141" s="1">
        <f t="shared" si="7"/>
        <v>6.67076632084587</v>
      </c>
      <c r="BC141" s="1">
        <v>0</v>
      </c>
      <c r="BD141" s="1">
        <v>395.51</v>
      </c>
      <c r="BE141" s="1">
        <v>1.64489734172821</v>
      </c>
      <c r="BF141" s="1">
        <v>-13.653058</v>
      </c>
      <c r="BG141" s="1">
        <v>-0.00820899999999991</v>
      </c>
      <c r="BH141" s="1">
        <v>1127.2427</v>
      </c>
      <c r="BI141" s="1">
        <f t="shared" si="8"/>
        <v>7.02752984134321</v>
      </c>
      <c r="BJ141" s="1">
        <v>2.460941667</v>
      </c>
      <c r="BM141" s="1">
        <v>189562</v>
      </c>
      <c r="BN141" s="1">
        <v>4850000</v>
      </c>
      <c r="BO141" s="1">
        <v>0.0391</v>
      </c>
      <c r="BP141" s="1">
        <v>0.345134</v>
      </c>
      <c r="BQ141" s="1">
        <v>51.940951</v>
      </c>
      <c r="BR141" s="1">
        <v>13253.1</v>
      </c>
      <c r="BS141" s="3">
        <v>2000000</v>
      </c>
    </row>
    <row r="142" spans="1:71">
      <c r="A142" s="1" t="s">
        <v>82</v>
      </c>
      <c r="B142" s="1">
        <v>12</v>
      </c>
      <c r="C142" s="1">
        <v>116.079</v>
      </c>
      <c r="D142" s="1">
        <v>24.2028</v>
      </c>
      <c r="E142" s="1">
        <v>2019</v>
      </c>
      <c r="F142" s="1">
        <v>0.272339554402616</v>
      </c>
      <c r="G142" s="1">
        <v>7.0090387883329</v>
      </c>
      <c r="H142" s="1">
        <v>5.47919519208004</v>
      </c>
      <c r="I142" s="1">
        <v>5.39212685815562</v>
      </c>
      <c r="J142" s="1">
        <v>5.53117883160964</v>
      </c>
      <c r="K142" s="1">
        <v>5.64338476619714</v>
      </c>
      <c r="L142" s="1">
        <v>0.6424678</v>
      </c>
      <c r="M142" s="1">
        <v>6.07336706272761</v>
      </c>
      <c r="N142" s="1">
        <v>1.609438</v>
      </c>
      <c r="O142" s="1">
        <v>10.2071873448738</v>
      </c>
      <c r="P142" s="1">
        <v>238.653754533427</v>
      </c>
      <c r="Q142" s="1">
        <v>218.670096200906</v>
      </c>
      <c r="R142" s="1">
        <v>251.441321472224</v>
      </c>
      <c r="S142" s="1">
        <v>281.417018100997</v>
      </c>
      <c r="T142" s="1">
        <v>90.6</v>
      </c>
      <c r="U142" s="1">
        <v>433.14</v>
      </c>
      <c r="V142" s="1">
        <v>4</v>
      </c>
      <c r="W142" s="1">
        <v>27096.2451</v>
      </c>
      <c r="X142" s="1">
        <v>0.101611595847689</v>
      </c>
      <c r="Y142" s="1">
        <v>7.27</v>
      </c>
      <c r="Z142" s="1">
        <v>0.3125</v>
      </c>
      <c r="AA142" s="1">
        <v>5.5096294617265</v>
      </c>
      <c r="AB142" s="1">
        <f t="shared" si="6"/>
        <v>1.70649737257805</v>
      </c>
      <c r="AC142" s="1">
        <v>3.03084378085882</v>
      </c>
      <c r="AD142" s="1">
        <v>0.00475622710622711</v>
      </c>
      <c r="AE142" s="1">
        <v>0.854258203234552</v>
      </c>
      <c r="AF142" s="1">
        <v>9</v>
      </c>
      <c r="AG142" s="1">
        <v>0.422526</v>
      </c>
      <c r="AH142" s="2">
        <v>4.51743</v>
      </c>
      <c r="AI142" s="1">
        <v>263.188064802407</v>
      </c>
      <c r="AJ142" s="1">
        <v>0.211985324092947</v>
      </c>
      <c r="AK142" s="1">
        <v>0.22741451830385</v>
      </c>
      <c r="AL142" s="1">
        <v>0.19241947445431</v>
      </c>
      <c r="AM142" s="1">
        <v>0.205613446720166</v>
      </c>
      <c r="AN142" s="1">
        <v>0</v>
      </c>
      <c r="AO142" s="1">
        <v>0.0264904</v>
      </c>
      <c r="AP142" s="1">
        <v>0.05918901</v>
      </c>
      <c r="AQ142" s="1">
        <v>0.03334832</v>
      </c>
      <c r="AR142" s="1">
        <v>0.02729253</v>
      </c>
      <c r="AS142" s="1">
        <v>0.05797667</v>
      </c>
      <c r="AT142" s="1">
        <v>0.03364053</v>
      </c>
      <c r="AU142" s="1">
        <v>0.05773606</v>
      </c>
      <c r="AV142" s="1">
        <v>0.02683388</v>
      </c>
      <c r="AW142" s="1">
        <v>0.07113781</v>
      </c>
      <c r="AX142" s="1">
        <v>0.04002148</v>
      </c>
      <c r="AY142" s="1">
        <v>0.02766861</v>
      </c>
      <c r="AZ142" s="1">
        <v>1082</v>
      </c>
      <c r="BA142" s="1">
        <v>25.969</v>
      </c>
      <c r="BB142" s="1">
        <f t="shared" si="7"/>
        <v>6.98656645940643</v>
      </c>
      <c r="BC142" s="1">
        <v>0.00093</v>
      </c>
      <c r="BD142" s="1">
        <v>391.96</v>
      </c>
      <c r="BE142" s="1">
        <v>1.61071979999542</v>
      </c>
      <c r="BF142" s="1">
        <v>-13.512082</v>
      </c>
      <c r="BG142" s="1">
        <v>1.297144</v>
      </c>
      <c r="BH142" s="1">
        <v>1187.07858560424</v>
      </c>
      <c r="BI142" s="1">
        <f t="shared" si="8"/>
        <v>7.07925059764502</v>
      </c>
      <c r="BJ142" s="1">
        <v>2.460941667</v>
      </c>
      <c r="BM142" s="1">
        <v>189562</v>
      </c>
      <c r="BN142" s="1">
        <v>4850000</v>
      </c>
      <c r="BO142" s="1">
        <v>0.0391</v>
      </c>
      <c r="BP142" s="1">
        <v>0.345134</v>
      </c>
      <c r="BQ142" s="1">
        <v>51.940951</v>
      </c>
      <c r="BR142" s="1">
        <v>13253.1</v>
      </c>
      <c r="BS142" s="3">
        <v>2000000</v>
      </c>
    </row>
    <row r="143" spans="1:71">
      <c r="A143" s="1" t="s">
        <v>82</v>
      </c>
      <c r="B143" s="1">
        <v>12</v>
      </c>
      <c r="C143" s="1">
        <v>116.079</v>
      </c>
      <c r="D143" s="1">
        <v>24.2028</v>
      </c>
      <c r="E143" s="1">
        <v>2020</v>
      </c>
      <c r="F143" s="1">
        <v>0.239974349742577</v>
      </c>
      <c r="G143" s="1">
        <v>7.14238539123666</v>
      </c>
      <c r="H143" s="1">
        <v>5.52588561364215</v>
      </c>
      <c r="I143" s="1">
        <v>5.45890926639124</v>
      </c>
      <c r="J143" s="1">
        <v>5.5715272498592</v>
      </c>
      <c r="K143" s="1">
        <v>5.64731737018646</v>
      </c>
      <c r="L143" s="1">
        <v>0.6424678</v>
      </c>
      <c r="M143" s="1">
        <v>6.76996339476743</v>
      </c>
      <c r="N143" s="1">
        <v>2.4849067</v>
      </c>
      <c r="O143" s="1">
        <v>10.342133752073</v>
      </c>
      <c r="P143" s="1">
        <v>250.108624770661</v>
      </c>
      <c r="Q143" s="1">
        <v>233.84113546145</v>
      </c>
      <c r="R143" s="1">
        <v>261.835207948287</v>
      </c>
      <c r="S143" s="1">
        <v>282.529839138322</v>
      </c>
      <c r="T143" s="1">
        <v>93.04</v>
      </c>
      <c r="U143" s="1">
        <v>870.28</v>
      </c>
      <c r="V143" s="1">
        <v>11</v>
      </c>
      <c r="W143" s="1">
        <v>31011.1317</v>
      </c>
      <c r="X143" s="1">
        <v>0.0819481105842613</v>
      </c>
      <c r="Y143" s="1">
        <v>9.57</v>
      </c>
      <c r="Z143" s="1">
        <v>0.3038</v>
      </c>
      <c r="AA143" s="1">
        <v>5.49715272554249</v>
      </c>
      <c r="AB143" s="1">
        <f t="shared" si="6"/>
        <v>1.70423027192762</v>
      </c>
      <c r="AC143" s="1">
        <v>3.3285344269086</v>
      </c>
      <c r="AD143" s="1">
        <v>0.00520955882352941</v>
      </c>
      <c r="AE143" s="1">
        <v>0.674051821254225</v>
      </c>
      <c r="AF143" s="1">
        <v>24</v>
      </c>
      <c r="AG143" s="1">
        <v>0.45912</v>
      </c>
      <c r="AH143" s="2">
        <v>4.54372</v>
      </c>
      <c r="AI143" s="1">
        <v>263.188064802407</v>
      </c>
      <c r="AJ143" s="1">
        <v>0.211985324092947</v>
      </c>
      <c r="AK143" s="1">
        <v>0.22741451830385</v>
      </c>
      <c r="AL143" s="1">
        <v>0.19241947445431</v>
      </c>
      <c r="AM143" s="1">
        <v>0.205613446720166</v>
      </c>
      <c r="AN143" s="1">
        <v>0</v>
      </c>
      <c r="AO143" s="1">
        <v>0.0264904</v>
      </c>
      <c r="AP143" s="1">
        <v>0.05918901</v>
      </c>
      <c r="AQ143" s="1">
        <v>0.03334832</v>
      </c>
      <c r="AR143" s="1">
        <v>0.02729253</v>
      </c>
      <c r="AS143" s="1">
        <v>0.05797667</v>
      </c>
      <c r="AT143" s="1">
        <v>0.03364053</v>
      </c>
      <c r="AU143" s="1">
        <v>0.05773606</v>
      </c>
      <c r="AV143" s="1">
        <v>0.02683388</v>
      </c>
      <c r="AW143" s="1">
        <v>0.07113781</v>
      </c>
      <c r="AX143" s="1">
        <v>0.04002148</v>
      </c>
      <c r="AY143" s="1">
        <v>0.02766861</v>
      </c>
      <c r="AZ143" s="1">
        <v>1286</v>
      </c>
      <c r="BA143" s="1">
        <v>28.34</v>
      </c>
      <c r="BB143" s="1">
        <f t="shared" si="7"/>
        <v>7.15929190479756</v>
      </c>
      <c r="BC143" s="1">
        <v>0.000555</v>
      </c>
      <c r="BD143" s="1">
        <v>387.1</v>
      </c>
      <c r="BE143" s="1">
        <v>1.62237656116486</v>
      </c>
      <c r="BF143" s="1">
        <v>-0.655222999999999</v>
      </c>
      <c r="BG143" s="1">
        <v>0.433208</v>
      </c>
      <c r="BH143" s="1">
        <v>1207.9766</v>
      </c>
      <c r="BI143" s="1">
        <f t="shared" si="8"/>
        <v>7.09670200744622</v>
      </c>
      <c r="BJ143" s="1">
        <v>2.460941667</v>
      </c>
      <c r="BM143" s="1">
        <v>189562</v>
      </c>
      <c r="BN143" s="1">
        <v>4850000</v>
      </c>
      <c r="BO143" s="1">
        <v>0.0391</v>
      </c>
      <c r="BP143" s="1">
        <v>0.345134</v>
      </c>
      <c r="BQ143" s="1">
        <v>51.940951</v>
      </c>
      <c r="BR143" s="1">
        <v>13253.1</v>
      </c>
      <c r="BS143" s="3">
        <v>2000000</v>
      </c>
    </row>
    <row r="144" spans="1:71">
      <c r="A144" s="1" t="s">
        <v>82</v>
      </c>
      <c r="B144" s="1">
        <v>12</v>
      </c>
      <c r="C144" s="1">
        <v>116.079</v>
      </c>
      <c r="D144" s="1">
        <v>24.2028</v>
      </c>
      <c r="E144" s="1">
        <v>2021</v>
      </c>
      <c r="F144" s="1">
        <v>0.225151695834836</v>
      </c>
      <c r="G144" s="1">
        <v>7.37483963253599</v>
      </c>
      <c r="H144" s="1">
        <v>5.64157556954369</v>
      </c>
      <c r="I144" s="1">
        <v>5.62518413335539</v>
      </c>
      <c r="J144" s="1">
        <v>5.64540405750299</v>
      </c>
      <c r="K144" s="1">
        <v>5.68728837073553</v>
      </c>
      <c r="L144" s="1">
        <v>0.6424678</v>
      </c>
      <c r="M144" s="1">
        <v>2.40784560365153</v>
      </c>
      <c r="N144" s="1">
        <v>2.3978953</v>
      </c>
      <c r="O144" s="1">
        <v>10.0469118585238</v>
      </c>
      <c r="P144" s="1">
        <v>280.906532053669</v>
      </c>
      <c r="Q144" s="1">
        <v>276.323344292955</v>
      </c>
      <c r="R144" s="1">
        <v>281.987876466581</v>
      </c>
      <c r="S144" s="1">
        <v>294.09235371577</v>
      </c>
      <c r="T144" s="1">
        <v>112.07</v>
      </c>
      <c r="U144" s="1">
        <v>10.11</v>
      </c>
      <c r="V144" s="1">
        <v>10</v>
      </c>
      <c r="W144" s="1">
        <v>23083.3888</v>
      </c>
      <c r="X144" s="1">
        <v>0.0930932352115268</v>
      </c>
      <c r="Y144" s="1">
        <v>9.9</v>
      </c>
      <c r="Z144" s="1">
        <v>0.3127</v>
      </c>
      <c r="AA144" s="1">
        <v>5.4986757191641</v>
      </c>
      <c r="AB144" s="1">
        <f t="shared" si="6"/>
        <v>1.70450728491287</v>
      </c>
      <c r="AC144" s="1">
        <v>3.30918735979145</v>
      </c>
      <c r="AD144" s="1">
        <v>0.00524741697416974</v>
      </c>
      <c r="AE144" s="1">
        <v>0.796944261058191</v>
      </c>
      <c r="AF144" s="1">
        <v>1</v>
      </c>
      <c r="AG144" s="1">
        <v>0.472566</v>
      </c>
      <c r="AH144" s="2">
        <v>4.72801</v>
      </c>
      <c r="AI144" s="1">
        <v>263.188064802407</v>
      </c>
      <c r="AJ144" s="1">
        <v>0.211985324092947</v>
      </c>
      <c r="AK144" s="1">
        <v>0.22741451830385</v>
      </c>
      <c r="AL144" s="1">
        <v>0.19241947445431</v>
      </c>
      <c r="AM144" s="1">
        <v>0.205613446720166</v>
      </c>
      <c r="AN144" s="1">
        <v>0</v>
      </c>
      <c r="AO144" s="1">
        <v>0.0264904</v>
      </c>
      <c r="AP144" s="1">
        <v>0.05918901</v>
      </c>
      <c r="AQ144" s="1">
        <v>0.03334832</v>
      </c>
      <c r="AR144" s="1">
        <v>0.02729253</v>
      </c>
      <c r="AS144" s="1">
        <v>0.05797667</v>
      </c>
      <c r="AT144" s="1">
        <v>0.03364053</v>
      </c>
      <c r="AU144" s="1">
        <v>0.05773606</v>
      </c>
      <c r="AV144" s="1">
        <v>0.02683388</v>
      </c>
      <c r="AW144" s="1">
        <v>0.07113781</v>
      </c>
      <c r="AX144" s="1">
        <v>0.04002148</v>
      </c>
      <c r="AY144" s="1">
        <v>0.02766861</v>
      </c>
      <c r="AZ144" s="1">
        <v>980</v>
      </c>
      <c r="BA144" s="1">
        <v>28.441</v>
      </c>
      <c r="BB144" s="1">
        <f t="shared" si="7"/>
        <v>6.88755257166462</v>
      </c>
      <c r="BC144" s="1">
        <v>0.000872</v>
      </c>
      <c r="BD144" s="1">
        <v>387.69</v>
      </c>
      <c r="BE144" s="1">
        <v>1.5826827287674</v>
      </c>
      <c r="BF144" s="1">
        <v>239.487319</v>
      </c>
      <c r="BG144" s="1">
        <v>0.129396</v>
      </c>
      <c r="BH144" s="1">
        <v>1308.0069</v>
      </c>
      <c r="BI144" s="1">
        <f t="shared" si="8"/>
        <v>7.17625980723259</v>
      </c>
      <c r="BJ144" s="1">
        <v>2.460941667</v>
      </c>
      <c r="BM144" s="1">
        <v>189562</v>
      </c>
      <c r="BN144" s="1">
        <v>4850000</v>
      </c>
      <c r="BO144" s="1">
        <v>0.0391</v>
      </c>
      <c r="BP144" s="1">
        <v>0.345134</v>
      </c>
      <c r="BQ144" s="1">
        <v>51.940951</v>
      </c>
      <c r="BR144" s="1">
        <v>13253.1</v>
      </c>
      <c r="BS144" s="3">
        <v>2000000</v>
      </c>
    </row>
    <row r="145" spans="1:71">
      <c r="A145" s="1" t="s">
        <v>82</v>
      </c>
      <c r="B145" s="1">
        <v>12</v>
      </c>
      <c r="C145" s="1">
        <v>116.079</v>
      </c>
      <c r="D145" s="1">
        <v>24.2028</v>
      </c>
      <c r="E145" s="1">
        <v>2022</v>
      </c>
      <c r="F145" s="1">
        <v>0.222871935082246</v>
      </c>
      <c r="G145" s="1">
        <v>7.40615949387895</v>
      </c>
      <c r="H145" s="1">
        <v>5.65714158104919</v>
      </c>
      <c r="I145" s="1">
        <v>5.68765592436187</v>
      </c>
      <c r="J145" s="1">
        <v>5.56323625556644</v>
      </c>
      <c r="K145" s="1">
        <v>5.71599891844309</v>
      </c>
      <c r="L145" s="1">
        <v>0.6424678</v>
      </c>
      <c r="M145" s="1">
        <v>7.92262357421728</v>
      </c>
      <c r="N145" s="1">
        <v>3.4965076</v>
      </c>
      <c r="O145" s="1">
        <v>10.4366420217851</v>
      </c>
      <c r="P145" s="1">
        <v>285.329023415671</v>
      </c>
      <c r="Q145" s="1">
        <v>294.200835870298</v>
      </c>
      <c r="R145" s="1">
        <v>259.665051526403</v>
      </c>
      <c r="S145" s="1">
        <v>302.6874107846</v>
      </c>
      <c r="T145" s="1">
        <v>102.32</v>
      </c>
      <c r="U145" s="1">
        <v>2758</v>
      </c>
      <c r="V145" s="1">
        <v>32</v>
      </c>
      <c r="W145" s="1">
        <v>34085</v>
      </c>
      <c r="X145" s="1">
        <v>0.0834693449480867</v>
      </c>
      <c r="Y145" s="1">
        <v>20.53</v>
      </c>
      <c r="Z145" s="1">
        <v>0.3093</v>
      </c>
      <c r="AA145" s="1">
        <v>5.49378876843052</v>
      </c>
      <c r="AB145" s="1">
        <f t="shared" si="6"/>
        <v>1.70361813925112</v>
      </c>
      <c r="AC145" s="1">
        <v>3.62359361208792</v>
      </c>
      <c r="AD145" s="1">
        <v>0.00674675324675325</v>
      </c>
      <c r="AE145" s="1">
        <v>0.950432927594428</v>
      </c>
      <c r="AF145" s="1">
        <v>14</v>
      </c>
      <c r="AG145" s="1">
        <v>0.433524</v>
      </c>
      <c r="AH145" s="2">
        <v>4.63783</v>
      </c>
      <c r="AI145" s="1">
        <v>263.188064802407</v>
      </c>
      <c r="AJ145" s="1">
        <v>0.211985324092947</v>
      </c>
      <c r="AK145" s="1">
        <v>0.22741451830385</v>
      </c>
      <c r="AL145" s="1">
        <v>0.19241947445431</v>
      </c>
      <c r="AM145" s="1">
        <v>0.205613446720166</v>
      </c>
      <c r="AN145" s="1">
        <v>0</v>
      </c>
      <c r="AO145" s="1">
        <v>0.0264904</v>
      </c>
      <c r="AP145" s="1">
        <v>0.05918901</v>
      </c>
      <c r="AQ145" s="1">
        <v>0.03334832</v>
      </c>
      <c r="AR145" s="1">
        <v>0.02729253</v>
      </c>
      <c r="AS145" s="1">
        <v>0.05797667</v>
      </c>
      <c r="AT145" s="1">
        <v>0.03364053</v>
      </c>
      <c r="AU145" s="1">
        <v>0.05773606</v>
      </c>
      <c r="AV145" s="1">
        <v>0.02683388</v>
      </c>
      <c r="AW145" s="1">
        <v>0.07113781</v>
      </c>
      <c r="AX145" s="1">
        <v>0.04002148</v>
      </c>
      <c r="AY145" s="1">
        <v>0.02766861</v>
      </c>
      <c r="AZ145" s="1">
        <v>955</v>
      </c>
      <c r="BA145" s="1">
        <v>26.631</v>
      </c>
      <c r="BB145" s="1">
        <f t="shared" si="7"/>
        <v>6.86171134048073</v>
      </c>
      <c r="BC145" s="1">
        <v>0.000657</v>
      </c>
      <c r="BD145" s="1">
        <v>385.8</v>
      </c>
      <c r="BE145" s="1">
        <v>1.60072750998303</v>
      </c>
      <c r="BF145" s="1">
        <v>6709.5470275</v>
      </c>
      <c r="BG145" s="1">
        <v>-0.357107</v>
      </c>
      <c r="BH145" s="1">
        <v>1318.21</v>
      </c>
      <c r="BI145" s="1">
        <f t="shared" si="8"/>
        <v>7.18403003469211</v>
      </c>
      <c r="BJ145" s="1">
        <v>2.460941667</v>
      </c>
      <c r="BM145" s="1">
        <v>189562</v>
      </c>
      <c r="BN145" s="1">
        <v>4850000</v>
      </c>
      <c r="BO145" s="1">
        <v>0.0391</v>
      </c>
      <c r="BP145" s="1">
        <v>0.345134</v>
      </c>
      <c r="BQ145" s="1">
        <v>51.940951</v>
      </c>
      <c r="BR145" s="1">
        <v>13253.1</v>
      </c>
      <c r="BS145" s="3">
        <v>2000000</v>
      </c>
    </row>
    <row r="146" spans="1:71">
      <c r="A146" s="1" t="s">
        <v>83</v>
      </c>
      <c r="B146" s="1">
        <v>13</v>
      </c>
      <c r="C146" s="1">
        <v>115.532</v>
      </c>
      <c r="D146" s="1">
        <v>23.0147</v>
      </c>
      <c r="E146" s="1">
        <v>2011</v>
      </c>
      <c r="F146" s="1">
        <v>0.336282333579824</v>
      </c>
      <c r="G146" s="1">
        <v>6.67196745078469</v>
      </c>
      <c r="H146" s="1">
        <v>3.90901849640784</v>
      </c>
      <c r="I146" s="1">
        <v>3.36660593689253</v>
      </c>
      <c r="J146" s="1">
        <v>4.2395986415416</v>
      </c>
      <c r="K146" s="1">
        <v>4.42232849394724</v>
      </c>
      <c r="L146" s="1">
        <v>-0.7271879</v>
      </c>
      <c r="M146" s="1">
        <v>0</v>
      </c>
      <c r="N146" s="1">
        <v>0.6931472</v>
      </c>
      <c r="O146" s="1">
        <v>9.83536929845983</v>
      </c>
      <c r="P146" s="1">
        <v>48.85</v>
      </c>
      <c r="Q146" s="1">
        <v>27.98</v>
      </c>
      <c r="R146" s="1">
        <v>68.38</v>
      </c>
      <c r="S146" s="1">
        <v>82.29</v>
      </c>
      <c r="T146" s="1">
        <v>15.96</v>
      </c>
      <c r="U146" s="1">
        <v>0</v>
      </c>
      <c r="V146" s="1">
        <v>1</v>
      </c>
      <c r="W146" s="1">
        <v>18682</v>
      </c>
      <c r="X146" s="1">
        <v>0.293776980041878</v>
      </c>
      <c r="Y146" s="1">
        <v>3.61</v>
      </c>
      <c r="Z146" s="1">
        <v>0.469599999963673</v>
      </c>
      <c r="AA146" s="1">
        <v>6.32903383196713</v>
      </c>
      <c r="AB146" s="1">
        <f t="shared" si="6"/>
        <v>1.84514759132591</v>
      </c>
      <c r="AC146" s="1">
        <v>0.953090540404559</v>
      </c>
      <c r="AD146" s="1">
        <v>0.00126728110599078</v>
      </c>
      <c r="AE146" s="1">
        <v>0.856070087609512</v>
      </c>
      <c r="AF146" s="1">
        <v>0</v>
      </c>
      <c r="AG146" s="1">
        <v>0.345092</v>
      </c>
      <c r="AH146" s="2">
        <v>2.83086</v>
      </c>
      <c r="AI146" s="1">
        <v>149.49646836036</v>
      </c>
      <c r="AJ146" s="1">
        <v>0.186031331592689</v>
      </c>
      <c r="AK146" s="1">
        <v>0.0320852183399108</v>
      </c>
      <c r="AL146" s="1">
        <v>0.145865043125317</v>
      </c>
      <c r="AM146" s="1">
        <v>0.167063700770349</v>
      </c>
      <c r="AN146" s="1">
        <v>0</v>
      </c>
      <c r="AO146" s="1">
        <v>0.03517121</v>
      </c>
      <c r="AP146" s="1">
        <v>0.05691096</v>
      </c>
      <c r="AQ146" s="1">
        <v>0.04257234</v>
      </c>
      <c r="AR146" s="1">
        <v>0.04793549</v>
      </c>
      <c r="AS146" s="1">
        <v>0.05602535</v>
      </c>
      <c r="AT146" s="1">
        <v>0.05709622</v>
      </c>
      <c r="AU146" s="1">
        <v>0.0721312</v>
      </c>
      <c r="AV146" s="1">
        <v>0.03810961</v>
      </c>
      <c r="AW146" s="1">
        <v>0.05863439</v>
      </c>
      <c r="AX146" s="1">
        <v>0.04265424</v>
      </c>
      <c r="AY146" s="1">
        <v>0.03449516</v>
      </c>
      <c r="AZ146" s="1">
        <v>37</v>
      </c>
      <c r="BA146" s="1">
        <v>4.4</v>
      </c>
      <c r="BB146" s="1">
        <f t="shared" si="7"/>
        <v>3.61091791264422</v>
      </c>
      <c r="BC146" s="1">
        <v>0.000144</v>
      </c>
      <c r="BD146" s="1">
        <v>347.2</v>
      </c>
      <c r="BE146" s="1">
        <v>0.781503856182098</v>
      </c>
      <c r="BF146" s="1">
        <v>-361.490508</v>
      </c>
      <c r="BG146" s="1">
        <v>1.960497</v>
      </c>
      <c r="BH146" s="1">
        <v>539.0681</v>
      </c>
      <c r="BI146" s="1">
        <f t="shared" si="8"/>
        <v>6.28984190801162</v>
      </c>
      <c r="BJ146" s="1">
        <v>3.10925</v>
      </c>
      <c r="BM146" s="1">
        <v>156892</v>
      </c>
      <c r="BN146" s="1">
        <v>2450000</v>
      </c>
      <c r="BO146" s="1">
        <v>0.064</v>
      </c>
      <c r="BP146" s="1">
        <v>0.266794</v>
      </c>
      <c r="BQ146" s="1">
        <v>37.412704</v>
      </c>
      <c r="BR146" s="1">
        <v>10244.9</v>
      </c>
      <c r="BS146" s="3">
        <v>1400000</v>
      </c>
    </row>
    <row r="147" spans="1:71">
      <c r="A147" s="1" t="s">
        <v>83</v>
      </c>
      <c r="B147" s="1">
        <v>13</v>
      </c>
      <c r="C147" s="1">
        <v>115.532</v>
      </c>
      <c r="D147" s="1">
        <v>23.0147</v>
      </c>
      <c r="E147" s="1">
        <v>2012</v>
      </c>
      <c r="F147" s="1">
        <v>0.366892473496093</v>
      </c>
      <c r="G147" s="1">
        <v>6.62666960689814</v>
      </c>
      <c r="H147" s="1">
        <v>4.52417702677856</v>
      </c>
      <c r="I147" s="1">
        <v>4.25390913189343</v>
      </c>
      <c r="J147" s="1">
        <v>4.72499557905644</v>
      </c>
      <c r="K147" s="1">
        <v>4.84465941583838</v>
      </c>
      <c r="L147" s="1">
        <v>-0.7271879</v>
      </c>
      <c r="M147" s="1">
        <v>0</v>
      </c>
      <c r="N147" s="1">
        <v>0</v>
      </c>
      <c r="O147" s="1">
        <v>9.9334831525715</v>
      </c>
      <c r="P147" s="1">
        <v>91.22</v>
      </c>
      <c r="Q147" s="1">
        <v>69.38</v>
      </c>
      <c r="R147" s="1">
        <v>111.73</v>
      </c>
      <c r="S147" s="1">
        <v>126.06</v>
      </c>
      <c r="T147" s="1">
        <v>17.65</v>
      </c>
      <c r="U147" s="1">
        <v>0</v>
      </c>
      <c r="V147" s="1">
        <v>0</v>
      </c>
      <c r="W147" s="1">
        <v>20608</v>
      </c>
      <c r="X147" s="1">
        <v>0.293942951319929</v>
      </c>
      <c r="Y147" s="1">
        <v>8.99</v>
      </c>
      <c r="Z147" s="1">
        <v>0.46559999993447</v>
      </c>
      <c r="AA147" s="1">
        <v>6.33376037689069</v>
      </c>
      <c r="AB147" s="1">
        <f t="shared" si="6"/>
        <v>1.84589411615528</v>
      </c>
      <c r="AC147" s="1">
        <v>0.990076144165238</v>
      </c>
      <c r="AD147" s="1">
        <v>0.00129608294930876</v>
      </c>
      <c r="AE147" s="1">
        <v>0.771564860209355</v>
      </c>
      <c r="AF147" s="1">
        <v>0</v>
      </c>
      <c r="AG147" s="1">
        <v>0.36064</v>
      </c>
      <c r="AH147" s="2">
        <v>2.92585</v>
      </c>
      <c r="AI147" s="1">
        <v>149.49646836036</v>
      </c>
      <c r="AJ147" s="1">
        <v>0.186031331592689</v>
      </c>
      <c r="AK147" s="1">
        <v>0.0320852183399108</v>
      </c>
      <c r="AL147" s="1">
        <v>0.145865043125317</v>
      </c>
      <c r="AM147" s="1">
        <v>0.167063700770349</v>
      </c>
      <c r="AN147" s="1">
        <v>0</v>
      </c>
      <c r="AO147" s="1">
        <v>0.03517121</v>
      </c>
      <c r="AP147" s="1">
        <v>0.05691096</v>
      </c>
      <c r="AQ147" s="1">
        <v>0.04257234</v>
      </c>
      <c r="AR147" s="1">
        <v>0.04793549</v>
      </c>
      <c r="AS147" s="1">
        <v>0.05602535</v>
      </c>
      <c r="AT147" s="1">
        <v>0.05709622</v>
      </c>
      <c r="AU147" s="1">
        <v>0.0721312</v>
      </c>
      <c r="AV147" s="1">
        <v>0.03810961</v>
      </c>
      <c r="AW147" s="1">
        <v>0.05863439</v>
      </c>
      <c r="AX147" s="1">
        <v>0.04265424</v>
      </c>
      <c r="AY147" s="1">
        <v>0.03449516</v>
      </c>
      <c r="AZ147" s="1">
        <v>80</v>
      </c>
      <c r="BA147" s="1">
        <v>4.5</v>
      </c>
      <c r="BB147" s="1">
        <f t="shared" si="7"/>
        <v>4.38202663467388</v>
      </c>
      <c r="BC147" s="1">
        <v>0.000127</v>
      </c>
      <c r="BD147" s="1">
        <v>347.2</v>
      </c>
      <c r="BE147" s="1">
        <v>0.798529267311096</v>
      </c>
      <c r="BF147" s="1">
        <v>-1155.240365</v>
      </c>
      <c r="BG147" s="1">
        <v>1.393103</v>
      </c>
      <c r="BH147" s="1">
        <v>613.7279</v>
      </c>
      <c r="BI147" s="1">
        <f t="shared" si="8"/>
        <v>6.41955167031378</v>
      </c>
      <c r="BJ147" s="1">
        <v>3.10925</v>
      </c>
      <c r="BM147" s="1">
        <v>156892</v>
      </c>
      <c r="BN147" s="1">
        <v>2450000</v>
      </c>
      <c r="BO147" s="1">
        <v>0.064</v>
      </c>
      <c r="BP147" s="1">
        <v>0.266794</v>
      </c>
      <c r="BQ147" s="1">
        <v>37.412704</v>
      </c>
      <c r="BR147" s="1">
        <v>10244.9</v>
      </c>
      <c r="BS147" s="3">
        <v>1400000</v>
      </c>
    </row>
    <row r="148" spans="1:71">
      <c r="A148" s="1" t="s">
        <v>83</v>
      </c>
      <c r="B148" s="1">
        <v>13</v>
      </c>
      <c r="C148" s="1">
        <v>115.532</v>
      </c>
      <c r="D148" s="1">
        <v>23.0147</v>
      </c>
      <c r="E148" s="1">
        <v>2013</v>
      </c>
      <c r="F148" s="1">
        <v>0.32872168955283</v>
      </c>
      <c r="G148" s="1">
        <v>6.5488765085436</v>
      </c>
      <c r="H148" s="1">
        <v>4.82261754475742</v>
      </c>
      <c r="I148" s="1">
        <v>4.64448704836504</v>
      </c>
      <c r="J148" s="1">
        <v>4.87748478130875</v>
      </c>
      <c r="K148" s="1">
        <v>5.18458860121969</v>
      </c>
      <c r="L148" s="1">
        <v>-0.7271879</v>
      </c>
      <c r="M148" s="1">
        <v>0</v>
      </c>
      <c r="N148" s="1">
        <v>0</v>
      </c>
      <c r="O148" s="1">
        <v>10.0239780308707</v>
      </c>
      <c r="P148" s="1">
        <v>123.29</v>
      </c>
      <c r="Q148" s="1">
        <v>103.01</v>
      </c>
      <c r="R148" s="1">
        <v>130.3</v>
      </c>
      <c r="S148" s="1">
        <v>177.5</v>
      </c>
      <c r="T148" s="1">
        <v>19.34</v>
      </c>
      <c r="U148" s="1">
        <v>0</v>
      </c>
      <c r="V148" s="1">
        <v>0</v>
      </c>
      <c r="W148" s="1">
        <v>22560</v>
      </c>
      <c r="X148" s="1">
        <v>0.38484504905659</v>
      </c>
      <c r="Y148" s="1">
        <v>2.75</v>
      </c>
      <c r="Z148" s="1">
        <v>0.469899999970227</v>
      </c>
      <c r="AA148" s="1">
        <v>6.41969023945459</v>
      </c>
      <c r="AB148" s="1">
        <f t="shared" si="6"/>
        <v>1.8593698672317</v>
      </c>
      <c r="AC148" s="1">
        <v>1.04800546270752</v>
      </c>
      <c r="AD148" s="1">
        <v>0.00129304964539007</v>
      </c>
      <c r="AE148" s="1">
        <v>0.876522390856286</v>
      </c>
      <c r="AF148" s="1">
        <v>0</v>
      </c>
      <c r="AG148" s="1">
        <v>0.363792</v>
      </c>
      <c r="AH148" s="2">
        <v>3.01259</v>
      </c>
      <c r="AI148" s="1">
        <v>149.49646836036</v>
      </c>
      <c r="AJ148" s="1">
        <v>0.186031331592689</v>
      </c>
      <c r="AK148" s="1">
        <v>0.0320852183399108</v>
      </c>
      <c r="AL148" s="1">
        <v>0.145865043125317</v>
      </c>
      <c r="AM148" s="1">
        <v>0.167063700770349</v>
      </c>
      <c r="AN148" s="1">
        <v>0</v>
      </c>
      <c r="AO148" s="1">
        <v>0.03517121</v>
      </c>
      <c r="AP148" s="1">
        <v>0.05691096</v>
      </c>
      <c r="AQ148" s="1">
        <v>0.04257234</v>
      </c>
      <c r="AR148" s="1">
        <v>0.04793549</v>
      </c>
      <c r="AS148" s="1">
        <v>0.05602535</v>
      </c>
      <c r="AT148" s="1">
        <v>0.05709622</v>
      </c>
      <c r="AU148" s="1">
        <v>0.0721312</v>
      </c>
      <c r="AV148" s="1">
        <v>0.03810961</v>
      </c>
      <c r="AW148" s="1">
        <v>0.05863439</v>
      </c>
      <c r="AX148" s="1">
        <v>0.04265424</v>
      </c>
      <c r="AY148" s="1">
        <v>0.03449516</v>
      </c>
      <c r="AZ148" s="1">
        <v>123</v>
      </c>
      <c r="BA148" s="1">
        <v>4.558</v>
      </c>
      <c r="BB148" s="1">
        <f t="shared" si="7"/>
        <v>4.81218435537242</v>
      </c>
      <c r="BC148" s="1">
        <v>0</v>
      </c>
      <c r="BD148" s="1">
        <v>352.5</v>
      </c>
      <c r="BE148" s="1">
        <v>0.785053551197052</v>
      </c>
      <c r="BF148" s="1">
        <v>-890.446813</v>
      </c>
      <c r="BG148" s="1">
        <v>-0.0603760000000002</v>
      </c>
      <c r="BH148" s="1">
        <v>678.2164</v>
      </c>
      <c r="BI148" s="1">
        <f t="shared" si="8"/>
        <v>6.5194664110565</v>
      </c>
      <c r="BJ148" s="1">
        <v>3.10925</v>
      </c>
      <c r="BM148" s="1">
        <v>156892</v>
      </c>
      <c r="BN148" s="1">
        <v>2450000</v>
      </c>
      <c r="BO148" s="1">
        <v>0.064</v>
      </c>
      <c r="BP148" s="1">
        <v>0.266794</v>
      </c>
      <c r="BQ148" s="1">
        <v>37.412704</v>
      </c>
      <c r="BR148" s="1">
        <v>10244.9</v>
      </c>
      <c r="BS148" s="3">
        <v>1400000</v>
      </c>
    </row>
    <row r="149" spans="1:71">
      <c r="A149" s="1" t="s">
        <v>83</v>
      </c>
      <c r="B149" s="1">
        <v>13</v>
      </c>
      <c r="C149" s="1">
        <v>115.532</v>
      </c>
      <c r="D149" s="1">
        <v>23.0147</v>
      </c>
      <c r="E149" s="1">
        <v>2014</v>
      </c>
      <c r="F149" s="1">
        <v>0.313910118044043</v>
      </c>
      <c r="G149" s="1">
        <v>6.54263090695195</v>
      </c>
      <c r="H149" s="1">
        <v>4.89918218213474</v>
      </c>
      <c r="I149" s="1">
        <v>4.92573078700581</v>
      </c>
      <c r="J149" s="1">
        <v>4.7431043720774</v>
      </c>
      <c r="K149" s="1">
        <v>5.05942545826568</v>
      </c>
      <c r="L149" s="1">
        <v>-0.7271879</v>
      </c>
      <c r="M149" s="1">
        <v>0</v>
      </c>
      <c r="N149" s="1">
        <v>0</v>
      </c>
      <c r="O149" s="1">
        <v>10.0828463914793</v>
      </c>
      <c r="P149" s="1">
        <v>133.18</v>
      </c>
      <c r="Q149" s="1">
        <v>136.79</v>
      </c>
      <c r="R149" s="1">
        <v>113.79</v>
      </c>
      <c r="S149" s="1">
        <v>156.5</v>
      </c>
      <c r="T149" s="1">
        <v>24.25</v>
      </c>
      <c r="U149" s="1">
        <v>0</v>
      </c>
      <c r="V149" s="1">
        <v>0</v>
      </c>
      <c r="W149" s="1">
        <v>23928</v>
      </c>
      <c r="X149" s="1">
        <v>0.338106461554511</v>
      </c>
      <c r="Y149" s="1">
        <v>7.65</v>
      </c>
      <c r="Z149" s="1">
        <v>0.464700000041841</v>
      </c>
      <c r="AA149" s="1">
        <v>6.42649843555577</v>
      </c>
      <c r="AB149" s="1">
        <f t="shared" si="6"/>
        <v>1.86042982313159</v>
      </c>
      <c r="AC149" s="1">
        <v>1.13717593656062</v>
      </c>
      <c r="AD149" s="1">
        <v>0.00141882483987747</v>
      </c>
      <c r="AE149" s="1">
        <v>0.753435232360661</v>
      </c>
      <c r="AF149" s="1">
        <v>0</v>
      </c>
      <c r="AG149" s="1">
        <v>0.40732</v>
      </c>
      <c r="AH149" s="2">
        <v>3.22883</v>
      </c>
      <c r="AI149" s="1">
        <v>149.49646836036</v>
      </c>
      <c r="AJ149" s="1">
        <v>0.186031331592689</v>
      </c>
      <c r="AK149" s="1">
        <v>0.0320852183399108</v>
      </c>
      <c r="AL149" s="1">
        <v>0.145865043125317</v>
      </c>
      <c r="AM149" s="1">
        <v>0.167063700770349</v>
      </c>
      <c r="AN149" s="1">
        <v>0</v>
      </c>
      <c r="AO149" s="1">
        <v>0.03517121</v>
      </c>
      <c r="AP149" s="1">
        <v>0.05691096</v>
      </c>
      <c r="AQ149" s="1">
        <v>0.04257234</v>
      </c>
      <c r="AR149" s="1">
        <v>0.04793549</v>
      </c>
      <c r="AS149" s="1">
        <v>0.05602535</v>
      </c>
      <c r="AT149" s="1">
        <v>0.05709622</v>
      </c>
      <c r="AU149" s="1">
        <v>0.0721312</v>
      </c>
      <c r="AV149" s="1">
        <v>0.03810961</v>
      </c>
      <c r="AW149" s="1">
        <v>0.05863439</v>
      </c>
      <c r="AX149" s="1">
        <v>0.04265424</v>
      </c>
      <c r="AY149" s="1">
        <v>0.03449516</v>
      </c>
      <c r="AZ149" s="1">
        <v>63</v>
      </c>
      <c r="BA149" s="1">
        <v>5.095</v>
      </c>
      <c r="BB149" s="1">
        <f t="shared" si="7"/>
        <v>4.14313472639153</v>
      </c>
      <c r="BC149" s="1">
        <v>0</v>
      </c>
      <c r="BD149" s="1">
        <v>279.26</v>
      </c>
      <c r="BE149" s="1">
        <v>0.822233557701111</v>
      </c>
      <c r="BF149" s="1">
        <v>-583.040008</v>
      </c>
      <c r="BG149" s="1">
        <v>1.06728</v>
      </c>
      <c r="BH149" s="1">
        <v>729.3553</v>
      </c>
      <c r="BI149" s="1">
        <f t="shared" si="8"/>
        <v>6.59216099325018</v>
      </c>
      <c r="BJ149" s="1">
        <v>3.10925</v>
      </c>
      <c r="BM149" s="1">
        <v>156892</v>
      </c>
      <c r="BN149" s="1">
        <v>2450000</v>
      </c>
      <c r="BO149" s="1">
        <v>0.064</v>
      </c>
      <c r="BP149" s="1">
        <v>0.266794</v>
      </c>
      <c r="BQ149" s="1">
        <v>37.412704</v>
      </c>
      <c r="BR149" s="1">
        <v>10244.9</v>
      </c>
      <c r="BS149" s="3">
        <v>1400000</v>
      </c>
    </row>
    <row r="150" spans="1:71">
      <c r="A150" s="1" t="s">
        <v>83</v>
      </c>
      <c r="B150" s="1">
        <v>13</v>
      </c>
      <c r="C150" s="1">
        <v>115.532</v>
      </c>
      <c r="D150" s="1">
        <v>23.0147</v>
      </c>
      <c r="E150" s="1">
        <v>2015</v>
      </c>
      <c r="F150" s="1">
        <v>0.326934106127355</v>
      </c>
      <c r="G150" s="1">
        <v>6.68801813003602</v>
      </c>
      <c r="H150" s="1">
        <v>5.11234916883388</v>
      </c>
      <c r="I150" s="1">
        <v>5.04542311958192</v>
      </c>
      <c r="J150" s="1">
        <v>4.98586434510433</v>
      </c>
      <c r="K150" s="1">
        <v>5.46995707499513</v>
      </c>
      <c r="L150" s="1">
        <v>-0.7271879</v>
      </c>
      <c r="M150" s="1">
        <v>0</v>
      </c>
      <c r="N150" s="1">
        <v>0.6931472</v>
      </c>
      <c r="O150" s="1">
        <v>10.1379270635921</v>
      </c>
      <c r="P150" s="1">
        <v>165.06</v>
      </c>
      <c r="Q150" s="1">
        <v>154.31</v>
      </c>
      <c r="R150" s="1">
        <v>145.33</v>
      </c>
      <c r="S150" s="1">
        <v>236.45</v>
      </c>
      <c r="T150" s="1">
        <v>23.33</v>
      </c>
      <c r="U150" s="1">
        <v>0</v>
      </c>
      <c r="V150" s="1">
        <v>1</v>
      </c>
      <c r="W150" s="1">
        <v>25283</v>
      </c>
      <c r="X150" s="1">
        <v>0.260660829792179</v>
      </c>
      <c r="Y150" s="1">
        <v>6.07</v>
      </c>
      <c r="Z150" s="1">
        <v>0.457600000052489</v>
      </c>
      <c r="AA150" s="1">
        <v>6.34475246658581</v>
      </c>
      <c r="AB150" s="1">
        <f t="shared" si="6"/>
        <v>1.84762808804693</v>
      </c>
      <c r="AC150" s="1">
        <v>1.22977585451913</v>
      </c>
      <c r="AD150" s="1">
        <v>0.00156730554936483</v>
      </c>
      <c r="AE150" s="1">
        <v>0.715665559915484</v>
      </c>
      <c r="AF150" s="1">
        <v>0</v>
      </c>
      <c r="AG150" s="1">
        <v>0.37065</v>
      </c>
      <c r="AH150" s="2">
        <v>3.19171</v>
      </c>
      <c r="AI150" s="1">
        <v>149.49646836036</v>
      </c>
      <c r="AJ150" s="1">
        <v>0.186031331592689</v>
      </c>
      <c r="AK150" s="1">
        <v>0.0320852183399108</v>
      </c>
      <c r="AL150" s="1">
        <v>0.145865043125317</v>
      </c>
      <c r="AM150" s="1">
        <v>0.167063700770349</v>
      </c>
      <c r="AN150" s="1">
        <v>0</v>
      </c>
      <c r="AO150" s="1">
        <v>0.03517121</v>
      </c>
      <c r="AP150" s="1">
        <v>0.05691096</v>
      </c>
      <c r="AQ150" s="1">
        <v>0.04257234</v>
      </c>
      <c r="AR150" s="1">
        <v>0.04793549</v>
      </c>
      <c r="AS150" s="1">
        <v>0.05602535</v>
      </c>
      <c r="AT150" s="1">
        <v>0.05709622</v>
      </c>
      <c r="AU150" s="1">
        <v>0.0721312</v>
      </c>
      <c r="AV150" s="1">
        <v>0.03810961</v>
      </c>
      <c r="AW150" s="1">
        <v>0.05863439</v>
      </c>
      <c r="AX150" s="1">
        <v>0.04265424</v>
      </c>
      <c r="AY150" s="1">
        <v>0.03449516</v>
      </c>
      <c r="AZ150" s="1">
        <v>71</v>
      </c>
      <c r="BA150" s="1">
        <v>5.626</v>
      </c>
      <c r="BB150" s="1">
        <f t="shared" si="7"/>
        <v>4.26267987704132</v>
      </c>
      <c r="BC150" s="1">
        <v>0</v>
      </c>
      <c r="BD150" s="1">
        <v>277.06</v>
      </c>
      <c r="BE150" s="1">
        <v>1.03450322151184</v>
      </c>
      <c r="BF150" s="1">
        <v>-604.496448</v>
      </c>
      <c r="BG150" s="1">
        <v>0.450075</v>
      </c>
      <c r="BH150" s="1">
        <v>766.855</v>
      </c>
      <c r="BI150" s="1">
        <f t="shared" si="8"/>
        <v>6.64229773525549</v>
      </c>
      <c r="BJ150" s="1">
        <v>3.10925</v>
      </c>
      <c r="BM150" s="1">
        <v>156892</v>
      </c>
      <c r="BN150" s="1">
        <v>2450000</v>
      </c>
      <c r="BO150" s="1">
        <v>0.064</v>
      </c>
      <c r="BP150" s="1">
        <v>0.266794</v>
      </c>
      <c r="BQ150" s="1">
        <v>37.412704</v>
      </c>
      <c r="BR150" s="1">
        <v>10244.9</v>
      </c>
      <c r="BS150" s="3">
        <v>1400000</v>
      </c>
    </row>
    <row r="151" spans="1:71">
      <c r="A151" s="1" t="s">
        <v>83</v>
      </c>
      <c r="B151" s="1">
        <v>13</v>
      </c>
      <c r="C151" s="1">
        <v>115.532</v>
      </c>
      <c r="D151" s="1">
        <v>23.0147</v>
      </c>
      <c r="E151" s="1">
        <v>2016</v>
      </c>
      <c r="F151" s="1">
        <v>0.655228392321951</v>
      </c>
      <c r="G151" s="1">
        <v>6.85252272652715</v>
      </c>
      <c r="H151" s="1">
        <v>5.24864434670119</v>
      </c>
      <c r="I151" s="1">
        <v>5.10282173525668</v>
      </c>
      <c r="J151" s="1">
        <v>5.3292377026466</v>
      </c>
      <c r="K151" s="1">
        <v>5.5076100823816</v>
      </c>
      <c r="L151" s="1">
        <v>-0.7271879</v>
      </c>
      <c r="M151" s="1">
        <v>0</v>
      </c>
      <c r="N151" s="1">
        <v>0.6931472</v>
      </c>
      <c r="O151" s="1">
        <v>10.2165449313191</v>
      </c>
      <c r="P151" s="1">
        <v>189.308101730706</v>
      </c>
      <c r="Q151" s="1">
        <v>163.485387307857</v>
      </c>
      <c r="R151" s="1">
        <v>205.280666982459</v>
      </c>
      <c r="S151" s="1">
        <v>245.561161537157</v>
      </c>
      <c r="T151" s="1">
        <v>25.06</v>
      </c>
      <c r="U151" s="1">
        <v>0</v>
      </c>
      <c r="V151" s="1">
        <v>1</v>
      </c>
      <c r="W151" s="1">
        <v>27351</v>
      </c>
      <c r="X151" s="1">
        <v>0.257336193804571</v>
      </c>
      <c r="Y151" s="1">
        <v>11.42</v>
      </c>
      <c r="Z151" s="1">
        <v>0.445</v>
      </c>
      <c r="AA151" s="1">
        <v>6.33681663597916</v>
      </c>
      <c r="AB151" s="1">
        <f t="shared" si="6"/>
        <v>1.84637653446103</v>
      </c>
      <c r="AC151" s="1">
        <v>1.3149553608609</v>
      </c>
      <c r="AD151" s="1">
        <v>0.00162044198895028</v>
      </c>
      <c r="AE151" s="1">
        <v>0.998866563626996</v>
      </c>
      <c r="AF151" s="1">
        <v>0</v>
      </c>
      <c r="AG151" s="1">
        <v>0.406008</v>
      </c>
      <c r="AH151" s="2">
        <v>3.2604</v>
      </c>
      <c r="AI151" s="1">
        <v>149.49646836036</v>
      </c>
      <c r="AJ151" s="1">
        <v>0.186031331592689</v>
      </c>
      <c r="AK151" s="1">
        <v>0.0320852183399108</v>
      </c>
      <c r="AL151" s="1">
        <v>0.145865043125317</v>
      </c>
      <c r="AM151" s="1">
        <v>0.167063700770349</v>
      </c>
      <c r="AN151" s="1">
        <v>0</v>
      </c>
      <c r="AO151" s="1">
        <v>0.03517121</v>
      </c>
      <c r="AP151" s="1">
        <v>0.05691096</v>
      </c>
      <c r="AQ151" s="1">
        <v>0.04257234</v>
      </c>
      <c r="AR151" s="1">
        <v>0.04793549</v>
      </c>
      <c r="AS151" s="1">
        <v>0.05602535</v>
      </c>
      <c r="AT151" s="1">
        <v>0.05709622</v>
      </c>
      <c r="AU151" s="1">
        <v>0.0721312</v>
      </c>
      <c r="AV151" s="1">
        <v>0.03810961</v>
      </c>
      <c r="AW151" s="1">
        <v>0.05863439</v>
      </c>
      <c r="AX151" s="1">
        <v>0.04265424</v>
      </c>
      <c r="AY151" s="1">
        <v>0.03449516</v>
      </c>
      <c r="AZ151" s="1">
        <v>129</v>
      </c>
      <c r="BA151" s="1">
        <v>5.866</v>
      </c>
      <c r="BB151" s="1">
        <f t="shared" si="7"/>
        <v>4.85981240436167</v>
      </c>
      <c r="BC151" s="1">
        <v>0.000267</v>
      </c>
      <c r="BD151" s="1">
        <v>274.87</v>
      </c>
      <c r="BE151" s="1">
        <v>1.10875940322876</v>
      </c>
      <c r="BF151" s="1">
        <v>-355.27346</v>
      </c>
      <c r="BG151" s="1">
        <v>0.947727</v>
      </c>
      <c r="BH151" s="1">
        <v>843.917</v>
      </c>
      <c r="BI151" s="1">
        <f t="shared" si="8"/>
        <v>6.73805414852791</v>
      </c>
      <c r="BJ151" s="1">
        <v>3.10925</v>
      </c>
      <c r="BM151" s="1">
        <v>156892</v>
      </c>
      <c r="BN151" s="1">
        <v>2450000</v>
      </c>
      <c r="BO151" s="1">
        <v>0.064</v>
      </c>
      <c r="BP151" s="1">
        <v>0.266794</v>
      </c>
      <c r="BQ151" s="1">
        <v>37.412704</v>
      </c>
      <c r="BR151" s="1">
        <v>10244.9</v>
      </c>
      <c r="BS151" s="3">
        <v>1400000</v>
      </c>
    </row>
    <row r="152" spans="1:71">
      <c r="A152" s="1" t="s">
        <v>83</v>
      </c>
      <c r="B152" s="1">
        <v>13</v>
      </c>
      <c r="C152" s="1">
        <v>115.532</v>
      </c>
      <c r="D152" s="1">
        <v>23.0147</v>
      </c>
      <c r="E152" s="1">
        <v>2017</v>
      </c>
      <c r="F152" s="1">
        <v>0.371622483767726</v>
      </c>
      <c r="G152" s="1">
        <v>7.08370830550137</v>
      </c>
      <c r="H152" s="1">
        <v>5.39746074706056</v>
      </c>
      <c r="I152" s="1">
        <v>5.233179204862</v>
      </c>
      <c r="J152" s="1">
        <v>5.54936828227922</v>
      </c>
      <c r="K152" s="1">
        <v>5.58160690543393</v>
      </c>
      <c r="L152" s="1">
        <v>-0.7271879</v>
      </c>
      <c r="M152" s="1">
        <v>0</v>
      </c>
      <c r="N152" s="1">
        <v>0</v>
      </c>
      <c r="O152" s="1">
        <v>10.2621754690853</v>
      </c>
      <c r="P152" s="1">
        <v>219.844922541263</v>
      </c>
      <c r="Q152" s="1">
        <v>186.38760113687</v>
      </c>
      <c r="R152" s="1">
        <v>256.075105663211</v>
      </c>
      <c r="S152" s="1">
        <v>264.497893244708</v>
      </c>
      <c r="T152" s="1">
        <v>27.13</v>
      </c>
      <c r="U152" s="1">
        <v>0</v>
      </c>
      <c r="V152" s="1">
        <v>0</v>
      </c>
      <c r="W152" s="1">
        <v>28628</v>
      </c>
      <c r="X152" s="1">
        <v>0.233750739211739</v>
      </c>
      <c r="Y152" s="1">
        <v>7.53</v>
      </c>
      <c r="Z152" s="4">
        <v>0.443</v>
      </c>
      <c r="AA152" s="1">
        <v>6.32834046086637</v>
      </c>
      <c r="AB152" s="1">
        <f t="shared" si="6"/>
        <v>1.84503803130415</v>
      </c>
      <c r="AC152" s="1">
        <v>1.46273044837834</v>
      </c>
      <c r="AD152" s="1">
        <v>0.00169283746556474</v>
      </c>
      <c r="AE152" s="1">
        <v>0.889847378898474</v>
      </c>
      <c r="AF152" s="1">
        <v>0</v>
      </c>
      <c r="AG152" s="1">
        <v>0.381544</v>
      </c>
      <c r="AH152" s="2">
        <v>3.33684</v>
      </c>
      <c r="AI152" s="1">
        <v>149.49646836036</v>
      </c>
      <c r="AJ152" s="1">
        <v>0.186031331592689</v>
      </c>
      <c r="AK152" s="1">
        <v>0.0320852183399108</v>
      </c>
      <c r="AL152" s="1">
        <v>0.145865043125317</v>
      </c>
      <c r="AM152" s="1">
        <v>0.167063700770349</v>
      </c>
      <c r="AN152" s="1">
        <v>0</v>
      </c>
      <c r="AO152" s="1">
        <v>0.03517121</v>
      </c>
      <c r="AP152" s="1">
        <v>0.05691096</v>
      </c>
      <c r="AQ152" s="1">
        <v>0.04257234</v>
      </c>
      <c r="AR152" s="1">
        <v>0.04793549</v>
      </c>
      <c r="AS152" s="1">
        <v>0.05602535</v>
      </c>
      <c r="AT152" s="1">
        <v>0.05709622</v>
      </c>
      <c r="AU152" s="1">
        <v>0.0721312</v>
      </c>
      <c r="AV152" s="1">
        <v>0.03810961</v>
      </c>
      <c r="AW152" s="1">
        <v>0.05863439</v>
      </c>
      <c r="AX152" s="1">
        <v>0.04265424</v>
      </c>
      <c r="AY152" s="1">
        <v>0.03449516</v>
      </c>
      <c r="AZ152" s="1">
        <v>428</v>
      </c>
      <c r="BA152" s="1">
        <v>6.145</v>
      </c>
      <c r="BB152" s="1">
        <f t="shared" si="7"/>
        <v>6.0591231955818</v>
      </c>
      <c r="BC152" s="1">
        <v>0.000678</v>
      </c>
      <c r="BD152" s="1">
        <v>272.55</v>
      </c>
      <c r="BE152" s="1">
        <v>1.23707687854767</v>
      </c>
      <c r="BF152" s="1">
        <v>-43.4902</v>
      </c>
      <c r="BG152" s="1">
        <v>0.819798</v>
      </c>
      <c r="BH152" s="1">
        <v>904.5732</v>
      </c>
      <c r="BI152" s="1">
        <f t="shared" si="8"/>
        <v>6.80746323025068</v>
      </c>
      <c r="BJ152" s="1">
        <v>3.10925</v>
      </c>
      <c r="BM152" s="1">
        <v>156892</v>
      </c>
      <c r="BN152" s="1">
        <v>2450000</v>
      </c>
      <c r="BO152" s="1">
        <v>0.064</v>
      </c>
      <c r="BP152" s="1">
        <v>0.266794</v>
      </c>
      <c r="BQ152" s="1">
        <v>37.412704</v>
      </c>
      <c r="BR152" s="1">
        <v>10244.9</v>
      </c>
      <c r="BS152" s="3">
        <v>1400000</v>
      </c>
    </row>
    <row r="153" spans="1:71">
      <c r="A153" s="1" t="s">
        <v>83</v>
      </c>
      <c r="B153" s="1">
        <v>13</v>
      </c>
      <c r="C153" s="1">
        <v>115.532</v>
      </c>
      <c r="D153" s="1">
        <v>23.0147</v>
      </c>
      <c r="E153" s="1">
        <v>2018</v>
      </c>
      <c r="F153" s="1">
        <v>0.395000322373841</v>
      </c>
      <c r="G153" s="1">
        <v>7.19842845212882</v>
      </c>
      <c r="H153" s="1">
        <v>5.44559099758918</v>
      </c>
      <c r="I153" s="1">
        <v>5.34389979810649</v>
      </c>
      <c r="J153" s="1">
        <v>5.50973393196375</v>
      </c>
      <c r="K153" s="1">
        <v>5.62704340692215</v>
      </c>
      <c r="L153" s="1">
        <v>-0.7271879</v>
      </c>
      <c r="M153" s="1">
        <v>0</v>
      </c>
      <c r="N153" s="1">
        <v>1.3862944</v>
      </c>
      <c r="O153" s="1">
        <v>10.3361137687066</v>
      </c>
      <c r="P153" s="1">
        <v>230.734193647661</v>
      </c>
      <c r="Q153" s="1">
        <v>208.327455426244</v>
      </c>
      <c r="R153" s="1">
        <v>246.085376823237</v>
      </c>
      <c r="S153" s="1">
        <v>276.839443909422</v>
      </c>
      <c r="T153" s="1">
        <v>28.7</v>
      </c>
      <c r="U153" s="1">
        <v>0</v>
      </c>
      <c r="V153" s="1">
        <v>3</v>
      </c>
      <c r="W153" s="1">
        <v>30825</v>
      </c>
      <c r="X153" s="1">
        <v>0.193107102184103</v>
      </c>
      <c r="Y153" s="1">
        <v>5.63</v>
      </c>
      <c r="Z153" s="1">
        <v>0.441799999956537</v>
      </c>
      <c r="AA153" s="1">
        <v>6.32079047564261</v>
      </c>
      <c r="AB153" s="1">
        <f t="shared" si="6"/>
        <v>1.84384427559741</v>
      </c>
      <c r="AC153" s="1">
        <v>1.4841160933125</v>
      </c>
      <c r="AD153" s="1">
        <v>0.00184325842696629</v>
      </c>
      <c r="AE153" s="1">
        <v>0.938752591568763</v>
      </c>
      <c r="AF153" s="1">
        <v>0</v>
      </c>
      <c r="AG153" s="1">
        <v>0.397632</v>
      </c>
      <c r="AH153" s="2">
        <v>3.39115</v>
      </c>
      <c r="AI153" s="1">
        <v>149.49646836036</v>
      </c>
      <c r="AJ153" s="1">
        <v>0.186031331592689</v>
      </c>
      <c r="AK153" s="1">
        <v>0.0320852183399108</v>
      </c>
      <c r="AL153" s="1">
        <v>0.145865043125317</v>
      </c>
      <c r="AM153" s="1">
        <v>0.167063700770349</v>
      </c>
      <c r="AN153" s="1">
        <v>0</v>
      </c>
      <c r="AO153" s="1">
        <v>0.03517121</v>
      </c>
      <c r="AP153" s="1">
        <v>0.05691096</v>
      </c>
      <c r="AQ153" s="1">
        <v>0.04257234</v>
      </c>
      <c r="AR153" s="1">
        <v>0.04793549</v>
      </c>
      <c r="AS153" s="1">
        <v>0.05602535</v>
      </c>
      <c r="AT153" s="1">
        <v>0.05709622</v>
      </c>
      <c r="AU153" s="1">
        <v>0.0721312</v>
      </c>
      <c r="AV153" s="1">
        <v>0.03810961</v>
      </c>
      <c r="AW153" s="1">
        <v>0.05863439</v>
      </c>
      <c r="AX153" s="1">
        <v>0.04265424</v>
      </c>
      <c r="AY153" s="1">
        <v>0.03449516</v>
      </c>
      <c r="AZ153" s="1">
        <v>691</v>
      </c>
      <c r="BA153" s="1">
        <v>6.562</v>
      </c>
      <c r="BB153" s="1">
        <f t="shared" si="7"/>
        <v>6.53813982376767</v>
      </c>
      <c r="BC153" s="1">
        <v>0.000676</v>
      </c>
      <c r="BD153" s="1">
        <v>270.5</v>
      </c>
      <c r="BE153" s="1">
        <v>1.34521842002869</v>
      </c>
      <c r="BF153" s="1">
        <v>-81.78467</v>
      </c>
      <c r="BG153" s="1">
        <v>1.34157</v>
      </c>
      <c r="BH153" s="1">
        <v>1004.0023</v>
      </c>
      <c r="BI153" s="1">
        <f t="shared" si="8"/>
        <v>6.9117495910857</v>
      </c>
      <c r="BJ153" s="1">
        <v>3.10925</v>
      </c>
      <c r="BM153" s="1">
        <v>156892</v>
      </c>
      <c r="BN153" s="1">
        <v>2450000</v>
      </c>
      <c r="BO153" s="1">
        <v>0.064</v>
      </c>
      <c r="BP153" s="1">
        <v>0.266794</v>
      </c>
      <c r="BQ153" s="1">
        <v>37.412704</v>
      </c>
      <c r="BR153" s="1">
        <v>10244.9</v>
      </c>
      <c r="BS153" s="3">
        <v>1400000</v>
      </c>
    </row>
    <row r="154" spans="1:71">
      <c r="A154" s="1" t="s">
        <v>83</v>
      </c>
      <c r="B154" s="1">
        <v>13</v>
      </c>
      <c r="C154" s="1">
        <v>115.532</v>
      </c>
      <c r="D154" s="1">
        <v>23.0147</v>
      </c>
      <c r="E154" s="1">
        <v>2019</v>
      </c>
      <c r="F154" s="1">
        <v>0.428923399985012</v>
      </c>
      <c r="G154" s="1">
        <v>7.2783304305517</v>
      </c>
      <c r="H154" s="1">
        <v>5.49420312018603</v>
      </c>
      <c r="I154" s="1">
        <v>5.42143431114179</v>
      </c>
      <c r="J154" s="1">
        <v>5.54936552082561</v>
      </c>
      <c r="K154" s="1">
        <v>5.6153165894731</v>
      </c>
      <c r="L154" s="1">
        <v>-0.7271879</v>
      </c>
      <c r="M154" s="1">
        <v>5.67332326717149</v>
      </c>
      <c r="N154" s="1">
        <v>1.3862944</v>
      </c>
      <c r="O154" s="1">
        <v>10.4901465346206</v>
      </c>
      <c r="P154" s="1">
        <v>242.277585856005</v>
      </c>
      <c r="Q154" s="1">
        <v>225.203335874104</v>
      </c>
      <c r="R154" s="1">
        <v>256.074395836359</v>
      </c>
      <c r="S154" s="1">
        <v>273.600301048919</v>
      </c>
      <c r="T154" s="1">
        <v>30.61</v>
      </c>
      <c r="U154" s="1">
        <v>290</v>
      </c>
      <c r="V154" s="1">
        <v>3</v>
      </c>
      <c r="W154" s="1">
        <v>35958.4263</v>
      </c>
      <c r="X154" s="1">
        <v>0.155274906188009</v>
      </c>
      <c r="Y154" s="1">
        <v>15.98</v>
      </c>
      <c r="Z154" s="1">
        <v>0.3733</v>
      </c>
      <c r="AA154" s="1">
        <v>6.31467198061176</v>
      </c>
      <c r="AB154" s="1">
        <f t="shared" si="6"/>
        <v>1.84287581155738</v>
      </c>
      <c r="AC154" s="1">
        <v>1.40571378849744</v>
      </c>
      <c r="AD154" s="1">
        <v>0.00219131652661064</v>
      </c>
      <c r="AE154" s="1">
        <v>0.80425111220959</v>
      </c>
      <c r="AF154" s="1">
        <v>1</v>
      </c>
      <c r="AG154" s="1">
        <v>0.392184</v>
      </c>
      <c r="AH154" s="2">
        <v>3.45347</v>
      </c>
      <c r="AI154" s="1">
        <v>149.49646836036</v>
      </c>
      <c r="AJ154" s="1">
        <v>0.186031331592689</v>
      </c>
      <c r="AK154" s="1">
        <v>0.0320852183399108</v>
      </c>
      <c r="AL154" s="1">
        <v>0.145865043125317</v>
      </c>
      <c r="AM154" s="1">
        <v>0.167063700770349</v>
      </c>
      <c r="AN154" s="1">
        <v>0</v>
      </c>
      <c r="AO154" s="1">
        <v>0.03517121</v>
      </c>
      <c r="AP154" s="1">
        <v>0.05691096</v>
      </c>
      <c r="AQ154" s="1">
        <v>0.04257234</v>
      </c>
      <c r="AR154" s="1">
        <v>0.04793549</v>
      </c>
      <c r="AS154" s="1">
        <v>0.05602535</v>
      </c>
      <c r="AT154" s="1">
        <v>0.05709622</v>
      </c>
      <c r="AU154" s="1">
        <v>0.0721312</v>
      </c>
      <c r="AV154" s="1">
        <v>0.03810961</v>
      </c>
      <c r="AW154" s="1">
        <v>0.05863439</v>
      </c>
      <c r="AX154" s="1">
        <v>0.04265424</v>
      </c>
      <c r="AY154" s="1">
        <v>0.03449516</v>
      </c>
      <c r="AZ154" s="1">
        <v>451</v>
      </c>
      <c r="BA154" s="1">
        <v>7.8</v>
      </c>
      <c r="BB154" s="1">
        <f t="shared" si="7"/>
        <v>6.11146733950268</v>
      </c>
      <c r="BC154" s="1">
        <v>0.000948</v>
      </c>
      <c r="BD154" s="1">
        <v>268.85</v>
      </c>
      <c r="BE154" s="1">
        <v>1.37026262283325</v>
      </c>
      <c r="BF154" s="1">
        <v>-81.076997</v>
      </c>
      <c r="BG154" s="1">
        <v>0.9544375</v>
      </c>
      <c r="BH154" s="1">
        <v>1076.26862882578</v>
      </c>
      <c r="BI154" s="1">
        <f t="shared" si="8"/>
        <v>6.98125536460564</v>
      </c>
      <c r="BJ154" s="1">
        <v>3.10925</v>
      </c>
      <c r="BM154" s="1">
        <v>156892</v>
      </c>
      <c r="BN154" s="1">
        <v>2450000</v>
      </c>
      <c r="BO154" s="1">
        <v>0.064</v>
      </c>
      <c r="BP154" s="1">
        <v>0.266794</v>
      </c>
      <c r="BQ154" s="1">
        <v>37.412704</v>
      </c>
      <c r="BR154" s="1">
        <v>10244.9</v>
      </c>
      <c r="BS154" s="3">
        <v>1400000</v>
      </c>
    </row>
    <row r="155" spans="1:71">
      <c r="A155" s="1" t="s">
        <v>83</v>
      </c>
      <c r="B155" s="1">
        <v>13</v>
      </c>
      <c r="C155" s="1">
        <v>115.532</v>
      </c>
      <c r="D155" s="1">
        <v>23.0147</v>
      </c>
      <c r="E155" s="1">
        <v>2020</v>
      </c>
      <c r="F155" s="1">
        <v>0.41383782803006</v>
      </c>
      <c r="G155" s="1">
        <v>7.361075872679</v>
      </c>
      <c r="H155" s="1">
        <v>5.54168689866893</v>
      </c>
      <c r="I155" s="1">
        <v>5.49201178235108</v>
      </c>
      <c r="J155" s="1">
        <v>5.57983436806867</v>
      </c>
      <c r="K155" s="1">
        <v>5.62733306429472</v>
      </c>
      <c r="L155" s="1">
        <v>-0.7271879</v>
      </c>
      <c r="M155" s="1">
        <v>0</v>
      </c>
      <c r="N155" s="1">
        <v>1.7917595</v>
      </c>
      <c r="O155" s="1">
        <v>10.6442478381364</v>
      </c>
      <c r="P155" s="1">
        <v>254.10797804522</v>
      </c>
      <c r="Q155" s="1">
        <v>241.745066150998</v>
      </c>
      <c r="R155" s="1">
        <v>264.027705128938</v>
      </c>
      <c r="S155" s="1">
        <v>276.919933817099</v>
      </c>
      <c r="T155" s="1">
        <v>22.52</v>
      </c>
      <c r="U155" s="1">
        <v>0</v>
      </c>
      <c r="V155" s="1">
        <v>5</v>
      </c>
      <c r="W155" s="1">
        <v>41949.5926</v>
      </c>
      <c r="X155" s="1">
        <v>0.151694603511666</v>
      </c>
      <c r="Y155" s="1">
        <v>7.14</v>
      </c>
      <c r="Z155" s="1">
        <v>0.363</v>
      </c>
      <c r="AA155" s="1">
        <v>6.30754229140208</v>
      </c>
      <c r="AB155" s="1">
        <f t="shared" si="6"/>
        <v>1.84174610644949</v>
      </c>
      <c r="AC155" s="1">
        <v>1.55478619757848</v>
      </c>
      <c r="AD155" s="1">
        <v>0.00278681626928471</v>
      </c>
      <c r="AE155" s="1">
        <v>0.578727180527383</v>
      </c>
      <c r="AF155" s="1">
        <v>0</v>
      </c>
      <c r="AG155" s="1">
        <v>0.41168</v>
      </c>
      <c r="AH155" s="2">
        <v>3.15785</v>
      </c>
      <c r="AI155" s="1">
        <v>149.49646836036</v>
      </c>
      <c r="AJ155" s="1">
        <v>0.186031331592689</v>
      </c>
      <c r="AK155" s="1">
        <v>0.0320852183399108</v>
      </c>
      <c r="AL155" s="1">
        <v>0.145865043125317</v>
      </c>
      <c r="AM155" s="1">
        <v>0.167063700770349</v>
      </c>
      <c r="AN155" s="1">
        <v>0</v>
      </c>
      <c r="AO155" s="1">
        <v>0.03517121</v>
      </c>
      <c r="AP155" s="1">
        <v>0.05691096</v>
      </c>
      <c r="AQ155" s="1">
        <v>0.04257234</v>
      </c>
      <c r="AR155" s="1">
        <v>0.04793549</v>
      </c>
      <c r="AS155" s="1">
        <v>0.05602535</v>
      </c>
      <c r="AT155" s="1">
        <v>0.05709622</v>
      </c>
      <c r="AU155" s="1">
        <v>0.0721312</v>
      </c>
      <c r="AV155" s="1">
        <v>0.03810961</v>
      </c>
      <c r="AW155" s="1">
        <v>0.05863439</v>
      </c>
      <c r="AX155" s="1">
        <v>0.04265424</v>
      </c>
      <c r="AY155" s="1">
        <v>0.03449516</v>
      </c>
      <c r="AZ155" s="1">
        <v>283</v>
      </c>
      <c r="BA155" s="1">
        <v>9.9</v>
      </c>
      <c r="BB155" s="1">
        <f t="shared" si="7"/>
        <v>5.64544689764324</v>
      </c>
      <c r="BC155" s="1">
        <v>0.000243</v>
      </c>
      <c r="BD155" s="1">
        <v>266.94</v>
      </c>
      <c r="BE155" s="1">
        <v>1.36162602901459</v>
      </c>
      <c r="BF155" s="1">
        <v>-18.86963</v>
      </c>
      <c r="BG155" s="1">
        <v>0.5068089</v>
      </c>
      <c r="BH155" s="1">
        <v>1123.8086</v>
      </c>
      <c r="BI155" s="1">
        <f t="shared" si="8"/>
        <v>7.02447873125604</v>
      </c>
      <c r="BJ155" s="1">
        <v>3.10925</v>
      </c>
      <c r="BM155" s="1">
        <v>156892</v>
      </c>
      <c r="BN155" s="1">
        <v>2450000</v>
      </c>
      <c r="BO155" s="1">
        <v>0.064</v>
      </c>
      <c r="BP155" s="1">
        <v>0.266794</v>
      </c>
      <c r="BQ155" s="1">
        <v>37.412704</v>
      </c>
      <c r="BR155" s="1">
        <v>10244.9</v>
      </c>
      <c r="BS155" s="3">
        <v>1400000</v>
      </c>
    </row>
    <row r="156" spans="1:71">
      <c r="A156" s="1" t="s">
        <v>83</v>
      </c>
      <c r="B156" s="1">
        <v>13</v>
      </c>
      <c r="C156" s="1">
        <v>115.532</v>
      </c>
      <c r="D156" s="1">
        <v>23.0147</v>
      </c>
      <c r="E156" s="1">
        <v>2021</v>
      </c>
      <c r="F156" s="1">
        <v>0.444053190108877</v>
      </c>
      <c r="G156" s="1">
        <v>7.4777116192199</v>
      </c>
      <c r="H156" s="1">
        <v>5.6701638270973</v>
      </c>
      <c r="I156" s="1">
        <v>5.66217421694537</v>
      </c>
      <c r="J156" s="1">
        <v>5.67581156055274</v>
      </c>
      <c r="K156" s="1">
        <v>5.68608202285998</v>
      </c>
      <c r="L156" s="1">
        <v>-0.7271879</v>
      </c>
      <c r="M156" s="1">
        <v>0</v>
      </c>
      <c r="N156" s="1">
        <v>2.3025851</v>
      </c>
      <c r="O156" s="1">
        <v>10.2024341451337</v>
      </c>
      <c r="P156" s="1">
        <v>289.082053776938</v>
      </c>
      <c r="Q156" s="1">
        <v>286.773645152622</v>
      </c>
      <c r="R156" s="1">
        <v>290.724994971503</v>
      </c>
      <c r="S156" s="1">
        <v>293.736584318894</v>
      </c>
      <c r="T156" s="1">
        <v>36.52</v>
      </c>
      <c r="U156" s="1">
        <v>0</v>
      </c>
      <c r="V156" s="1">
        <v>9</v>
      </c>
      <c r="W156" s="1">
        <v>26967.7521</v>
      </c>
      <c r="X156" s="1">
        <v>0.157913758459917</v>
      </c>
      <c r="Y156" s="1">
        <v>12.61</v>
      </c>
      <c r="Z156" s="1">
        <v>0.3874</v>
      </c>
      <c r="AA156" s="1">
        <v>6.31407667605871</v>
      </c>
      <c r="AB156" s="1">
        <f t="shared" si="6"/>
        <v>1.84278153387877</v>
      </c>
      <c r="AC156" s="1">
        <v>1.44747053013537</v>
      </c>
      <c r="AD156" s="1">
        <v>0.00293651685393258</v>
      </c>
      <c r="AE156" s="1">
        <v>1.68923109827826</v>
      </c>
      <c r="AF156" s="1">
        <v>0</v>
      </c>
      <c r="AG156" s="1">
        <v>0.425662</v>
      </c>
      <c r="AH156" s="2">
        <v>3.62487</v>
      </c>
      <c r="AI156" s="1">
        <v>149.49646836036</v>
      </c>
      <c r="AJ156" s="1">
        <v>0.186031331592689</v>
      </c>
      <c r="AK156" s="1">
        <v>0.0320852183399108</v>
      </c>
      <c r="AL156" s="1">
        <v>0.145865043125317</v>
      </c>
      <c r="AM156" s="1">
        <v>0.167063700770349</v>
      </c>
      <c r="AN156" s="1">
        <v>0</v>
      </c>
      <c r="AO156" s="1">
        <v>0.03517121</v>
      </c>
      <c r="AP156" s="1">
        <v>0.05691096</v>
      </c>
      <c r="AQ156" s="1">
        <v>0.04257234</v>
      </c>
      <c r="AR156" s="1">
        <v>0.04793549</v>
      </c>
      <c r="AS156" s="1">
        <v>0.05602535</v>
      </c>
      <c r="AT156" s="1">
        <v>0.05709622</v>
      </c>
      <c r="AU156" s="1">
        <v>0.0721312</v>
      </c>
      <c r="AV156" s="1">
        <v>0.03810961</v>
      </c>
      <c r="AW156" s="1">
        <v>0.05863439</v>
      </c>
      <c r="AX156" s="1">
        <v>0.04265424</v>
      </c>
      <c r="AY156" s="1">
        <v>0.03449516</v>
      </c>
      <c r="AZ156" s="1">
        <v>373</v>
      </c>
      <c r="BA156" s="1">
        <v>10.454</v>
      </c>
      <c r="BB156" s="1">
        <f t="shared" si="7"/>
        <v>5.92157841964382</v>
      </c>
      <c r="BC156" s="1">
        <v>0.000521</v>
      </c>
      <c r="BD156" s="1">
        <v>268.69</v>
      </c>
      <c r="BE156" s="1">
        <v>1.2305428981781</v>
      </c>
      <c r="BF156" s="1">
        <v>356.4146327</v>
      </c>
      <c r="BG156" s="1">
        <v>0.2432246</v>
      </c>
      <c r="BH156" s="1">
        <v>1288.0446</v>
      </c>
      <c r="BI156" s="1">
        <f t="shared" si="8"/>
        <v>7.16088053339398</v>
      </c>
      <c r="BJ156" s="1">
        <v>3.10925</v>
      </c>
      <c r="BM156" s="1">
        <v>156892</v>
      </c>
      <c r="BN156" s="1">
        <v>2450000</v>
      </c>
      <c r="BO156" s="1">
        <v>0.064</v>
      </c>
      <c r="BP156" s="1">
        <v>0.266794</v>
      </c>
      <c r="BQ156" s="1">
        <v>37.412704</v>
      </c>
      <c r="BR156" s="1">
        <v>10244.9</v>
      </c>
      <c r="BS156" s="3">
        <v>1400000</v>
      </c>
    </row>
    <row r="157" spans="1:71">
      <c r="A157" s="1" t="s">
        <v>83</v>
      </c>
      <c r="B157" s="1">
        <v>13</v>
      </c>
      <c r="C157" s="1">
        <v>115.532</v>
      </c>
      <c r="D157" s="1">
        <v>23.0147</v>
      </c>
      <c r="E157" s="1">
        <v>2022</v>
      </c>
      <c r="F157" s="1">
        <v>0.43955695466584</v>
      </c>
      <c r="G157" s="1">
        <v>7.12398465115437</v>
      </c>
      <c r="H157" s="1">
        <v>5.68239504235971</v>
      </c>
      <c r="I157" s="1">
        <v>5.72258350673246</v>
      </c>
      <c r="J157" s="1">
        <v>5.58674441518613</v>
      </c>
      <c r="K157" s="1">
        <v>5.71235693501105</v>
      </c>
      <c r="L157" s="1">
        <v>-0.7271879</v>
      </c>
      <c r="M157" s="1">
        <v>0</v>
      </c>
      <c r="N157" s="1">
        <v>1.9459102</v>
      </c>
      <c r="O157" s="1">
        <v>10.8045225045188</v>
      </c>
      <c r="P157" s="1">
        <v>292.651897087725</v>
      </c>
      <c r="Q157" s="1">
        <v>304.693665262488</v>
      </c>
      <c r="R157" s="1">
        <v>265.865401041084</v>
      </c>
      <c r="S157" s="1">
        <v>301.583397884431</v>
      </c>
      <c r="T157" s="1">
        <v>32.1986</v>
      </c>
      <c r="U157" s="1">
        <v>0</v>
      </c>
      <c r="V157" s="1">
        <v>6</v>
      </c>
      <c r="W157" s="1">
        <v>49242</v>
      </c>
      <c r="X157" s="1">
        <v>0.122441535811861</v>
      </c>
      <c r="Y157" s="1">
        <v>8.6</v>
      </c>
      <c r="Z157" s="1">
        <v>0.3713</v>
      </c>
      <c r="AA157" s="1">
        <v>6.31247503683002</v>
      </c>
      <c r="AB157" s="1">
        <f t="shared" si="6"/>
        <v>1.84252784003208</v>
      </c>
      <c r="AC157" s="1">
        <v>1.54489108210043</v>
      </c>
      <c r="AD157" s="1">
        <v>0.00322415730337079</v>
      </c>
      <c r="AE157" s="1">
        <v>1.68923109827826</v>
      </c>
      <c r="AF157" s="1">
        <v>0</v>
      </c>
      <c r="AG157" s="1">
        <v>0.480732</v>
      </c>
      <c r="AH157" s="2">
        <v>3.50251</v>
      </c>
      <c r="AI157" s="1">
        <v>149.49646836036</v>
      </c>
      <c r="AJ157" s="1">
        <v>0.186031331592689</v>
      </c>
      <c r="AK157" s="1">
        <v>0.0320852183399108</v>
      </c>
      <c r="AL157" s="1">
        <v>0.145865043125317</v>
      </c>
      <c r="AM157" s="1">
        <v>0.167063700770349</v>
      </c>
      <c r="AN157" s="1">
        <v>0</v>
      </c>
      <c r="AO157" s="1">
        <v>0.03517121</v>
      </c>
      <c r="AP157" s="1">
        <v>0.05691096</v>
      </c>
      <c r="AQ157" s="1">
        <v>0.04257234</v>
      </c>
      <c r="AR157" s="1">
        <v>0.04793549</v>
      </c>
      <c r="AS157" s="1">
        <v>0.05602535</v>
      </c>
      <c r="AT157" s="1">
        <v>0.05709622</v>
      </c>
      <c r="AU157" s="1">
        <v>0.0721312</v>
      </c>
      <c r="AV157" s="1">
        <v>0.03810961</v>
      </c>
      <c r="AW157" s="1">
        <v>0.05863439</v>
      </c>
      <c r="AX157" s="1">
        <v>0.04265424</v>
      </c>
      <c r="AY157" s="1">
        <v>0.03449516</v>
      </c>
      <c r="AZ157" s="1">
        <v>431</v>
      </c>
      <c r="BA157" s="1">
        <v>11.478</v>
      </c>
      <c r="BB157" s="1">
        <f t="shared" si="7"/>
        <v>6.06610809010375</v>
      </c>
      <c r="BC157" s="1">
        <v>0.000521</v>
      </c>
      <c r="BD157" s="1">
        <v>268.26</v>
      </c>
      <c r="BE157" s="1">
        <v>1.31130576492157</v>
      </c>
      <c r="BF157" s="1">
        <v>18592.7149973</v>
      </c>
      <c r="BG157" s="1">
        <v>-0.0437156</v>
      </c>
      <c r="BH157" s="1">
        <v>1322.02</v>
      </c>
      <c r="BI157" s="1">
        <f t="shared" si="8"/>
        <v>7.18691614889024</v>
      </c>
      <c r="BJ157" s="1">
        <v>3.10925</v>
      </c>
      <c r="BM157" s="1">
        <v>156892</v>
      </c>
      <c r="BN157" s="1">
        <v>2450000</v>
      </c>
      <c r="BO157" s="1">
        <v>0.064</v>
      </c>
      <c r="BP157" s="1">
        <v>0.266794</v>
      </c>
      <c r="BQ157" s="1">
        <v>37.412704</v>
      </c>
      <c r="BR157" s="1">
        <v>10244.9</v>
      </c>
      <c r="BS157" s="3">
        <v>1400000</v>
      </c>
    </row>
    <row r="158" spans="1:71">
      <c r="A158" s="1" t="s">
        <v>84</v>
      </c>
      <c r="B158" s="1">
        <v>14</v>
      </c>
      <c r="C158" s="1">
        <v>114.958</v>
      </c>
      <c r="D158" s="1">
        <v>24.0445</v>
      </c>
      <c r="E158" s="1">
        <v>2011</v>
      </c>
      <c r="F158" s="1">
        <v>0.275665511705625</v>
      </c>
      <c r="G158" s="1">
        <v>6.69779740539987</v>
      </c>
      <c r="H158" s="1">
        <v>3.85651029549788</v>
      </c>
      <c r="I158" s="1">
        <v>3.59264384623311</v>
      </c>
      <c r="J158" s="1">
        <v>4.04497923267677</v>
      </c>
      <c r="K158" s="1">
        <v>4.18570756823607</v>
      </c>
      <c r="L158" s="1">
        <v>0.0400694</v>
      </c>
      <c r="M158" s="1">
        <v>6.67959918584438</v>
      </c>
      <c r="N158" s="1">
        <v>0</v>
      </c>
      <c r="O158" s="1">
        <v>9.87847738953196</v>
      </c>
      <c r="P158" s="1">
        <v>46.3</v>
      </c>
      <c r="Q158" s="1">
        <v>35.33</v>
      </c>
      <c r="R158" s="1">
        <v>56.11</v>
      </c>
      <c r="S158" s="1">
        <v>64.74</v>
      </c>
      <c r="T158" s="1">
        <v>26.89</v>
      </c>
      <c r="U158" s="1">
        <v>795</v>
      </c>
      <c r="V158" s="1">
        <v>0</v>
      </c>
      <c r="W158" s="1">
        <v>19505</v>
      </c>
      <c r="X158" s="1">
        <v>0.311451618774755</v>
      </c>
      <c r="Y158" s="1">
        <v>2.67</v>
      </c>
      <c r="Z158" s="1">
        <v>0.529199999965475</v>
      </c>
      <c r="AA158" s="1">
        <v>5.25032281981488</v>
      </c>
      <c r="AB158" s="1">
        <f t="shared" si="6"/>
        <v>1.65828956420168</v>
      </c>
      <c r="AC158" s="1">
        <v>1.64101879794906</v>
      </c>
      <c r="AD158" s="1">
        <v>0.00323745910577972</v>
      </c>
      <c r="AE158" s="1">
        <v>1.06399542072124</v>
      </c>
      <c r="AF158" s="1">
        <v>3</v>
      </c>
      <c r="AG158" s="1">
        <v>0.359786</v>
      </c>
      <c r="AH158" s="2">
        <v>3.32827</v>
      </c>
      <c r="AI158" s="1">
        <v>164.181118755045</v>
      </c>
      <c r="AJ158" s="1">
        <v>0.17358513153563</v>
      </c>
      <c r="AK158" s="1">
        <v>0.129047747666637</v>
      </c>
      <c r="AL158" s="1">
        <v>0.127460279819777</v>
      </c>
      <c r="AM158" s="1">
        <v>0.140655218894684</v>
      </c>
      <c r="AN158" s="1">
        <v>0</v>
      </c>
      <c r="AO158" s="1">
        <v>0.04436838</v>
      </c>
      <c r="AP158" s="1">
        <v>0.0569807</v>
      </c>
      <c r="AQ158" s="1">
        <v>0.05377071</v>
      </c>
      <c r="AR158" s="1">
        <v>0.0406754</v>
      </c>
      <c r="AS158" s="1">
        <v>0.05608538</v>
      </c>
      <c r="AT158" s="1">
        <v>0.04850061</v>
      </c>
      <c r="AU158" s="1">
        <v>0.0602674</v>
      </c>
      <c r="AV158" s="1">
        <v>0.03488527</v>
      </c>
      <c r="AW158" s="1">
        <v>0.10672063</v>
      </c>
      <c r="AX158" s="1">
        <v>0.04289391</v>
      </c>
      <c r="AY158" s="1">
        <v>0.03882668</v>
      </c>
      <c r="AZ158" s="1">
        <v>89</v>
      </c>
      <c r="BA158" s="1">
        <v>11.875</v>
      </c>
      <c r="BB158" s="1">
        <f t="shared" si="7"/>
        <v>4.48863636973214</v>
      </c>
      <c r="BC158" s="1">
        <v>0.000131</v>
      </c>
      <c r="BD158" s="1">
        <v>366.8</v>
      </c>
      <c r="BE158" s="1">
        <v>0.653640389442444</v>
      </c>
      <c r="BF158" s="1">
        <v>-1309.110731</v>
      </c>
      <c r="BG158" s="1">
        <v>2.558785</v>
      </c>
      <c r="BH158" s="1">
        <v>519.950744</v>
      </c>
      <c r="BI158" s="1">
        <f t="shared" si="8"/>
        <v>6.25373408401204</v>
      </c>
      <c r="BJ158" s="1">
        <v>3.088633333</v>
      </c>
      <c r="BM158" s="1">
        <v>145682</v>
      </c>
      <c r="BN158" s="1">
        <v>3340000</v>
      </c>
      <c r="BO158" s="1">
        <v>0.0436</v>
      </c>
      <c r="BP158" s="1">
        <v>0.34508</v>
      </c>
      <c r="BQ158" s="1">
        <v>27.913468</v>
      </c>
      <c r="BR158" s="1">
        <v>13251.1</v>
      </c>
      <c r="BS158" s="3">
        <v>1100000</v>
      </c>
    </row>
    <row r="159" spans="1:71">
      <c r="A159" s="1" t="s">
        <v>84</v>
      </c>
      <c r="B159" s="1">
        <v>14</v>
      </c>
      <c r="C159" s="1">
        <v>114.958</v>
      </c>
      <c r="D159" s="1">
        <v>24.0445</v>
      </c>
      <c r="E159" s="1">
        <v>2012</v>
      </c>
      <c r="F159" s="1">
        <v>0.299775419203725</v>
      </c>
      <c r="G159" s="1">
        <v>6.63812054204601</v>
      </c>
      <c r="H159" s="1">
        <v>4.42831366862519</v>
      </c>
      <c r="I159" s="1">
        <v>4.30945594183904</v>
      </c>
      <c r="J159" s="1">
        <v>4.43390725655087</v>
      </c>
      <c r="K159" s="1">
        <v>4.73593525586764</v>
      </c>
      <c r="L159" s="1">
        <v>0.0400694</v>
      </c>
      <c r="M159" s="1">
        <v>0</v>
      </c>
      <c r="N159" s="1">
        <v>0.6931472</v>
      </c>
      <c r="O159" s="1">
        <v>9.92998341634009</v>
      </c>
      <c r="P159" s="1">
        <v>82.79</v>
      </c>
      <c r="Q159" s="1">
        <v>73.4</v>
      </c>
      <c r="R159" s="1">
        <v>83.26</v>
      </c>
      <c r="S159" s="1">
        <v>112.97</v>
      </c>
      <c r="T159" s="1">
        <v>32.86</v>
      </c>
      <c r="U159" s="1">
        <v>0</v>
      </c>
      <c r="V159" s="1">
        <v>1</v>
      </c>
      <c r="W159" s="1">
        <v>20536</v>
      </c>
      <c r="X159" s="1">
        <v>0.30015488537176</v>
      </c>
      <c r="Y159" s="1">
        <v>2.73</v>
      </c>
      <c r="Z159" s="1">
        <v>0.518600000065013</v>
      </c>
      <c r="AA159" s="1">
        <v>5.25976897560301</v>
      </c>
      <c r="AB159" s="1">
        <f t="shared" si="6"/>
        <v>1.66008710479704</v>
      </c>
      <c r="AC159" s="1">
        <v>1.79245833791135</v>
      </c>
      <c r="AD159" s="1">
        <v>0.00346071529146719</v>
      </c>
      <c r="AE159" s="1">
        <v>2.24852071005917</v>
      </c>
      <c r="AF159" s="1">
        <v>0</v>
      </c>
      <c r="AG159" s="1">
        <v>0.335744</v>
      </c>
      <c r="AH159" s="2">
        <v>3.52223</v>
      </c>
      <c r="AI159" s="1">
        <v>164.181118755045</v>
      </c>
      <c r="AJ159" s="1">
        <v>0.17358513153563</v>
      </c>
      <c r="AK159" s="1">
        <v>0.129047747666637</v>
      </c>
      <c r="AL159" s="1">
        <v>0.127460279819777</v>
      </c>
      <c r="AM159" s="1">
        <v>0.140655218894684</v>
      </c>
      <c r="AN159" s="1">
        <v>0</v>
      </c>
      <c r="AO159" s="1">
        <v>0.04436838</v>
      </c>
      <c r="AP159" s="1">
        <v>0.0569807</v>
      </c>
      <c r="AQ159" s="1">
        <v>0.05377071</v>
      </c>
      <c r="AR159" s="1">
        <v>0.0406754</v>
      </c>
      <c r="AS159" s="1">
        <v>0.05608538</v>
      </c>
      <c r="AT159" s="1">
        <v>0.04850061</v>
      </c>
      <c r="AU159" s="1">
        <v>0.0602674</v>
      </c>
      <c r="AV159" s="1">
        <v>0.03488527</v>
      </c>
      <c r="AW159" s="1">
        <v>0.10672063</v>
      </c>
      <c r="AX159" s="1">
        <v>0.04289391</v>
      </c>
      <c r="AY159" s="1">
        <v>0.03882668</v>
      </c>
      <c r="AZ159" s="1">
        <v>110</v>
      </c>
      <c r="BA159" s="1">
        <v>12.289</v>
      </c>
      <c r="BB159" s="1">
        <f t="shared" si="7"/>
        <v>4.70048036579242</v>
      </c>
      <c r="BC159" s="1">
        <v>0.000393</v>
      </c>
      <c r="BD159" s="1">
        <v>355.1</v>
      </c>
      <c r="BE159" s="1">
        <v>0.682232737541199</v>
      </c>
      <c r="BF159" s="1">
        <v>-176.535396</v>
      </c>
      <c r="BG159" s="1">
        <v>1.796651</v>
      </c>
      <c r="BH159" s="1">
        <v>591.422706</v>
      </c>
      <c r="BI159" s="1">
        <f t="shared" si="8"/>
        <v>6.38253100032356</v>
      </c>
      <c r="BJ159" s="1">
        <v>3.088633333</v>
      </c>
      <c r="BM159" s="1">
        <v>145682</v>
      </c>
      <c r="BN159" s="1">
        <v>3340000</v>
      </c>
      <c r="BO159" s="1">
        <v>0.0436</v>
      </c>
      <c r="BP159" s="1">
        <v>0.34508</v>
      </c>
      <c r="BQ159" s="1">
        <v>27.913468</v>
      </c>
      <c r="BR159" s="1">
        <v>13251.1</v>
      </c>
      <c r="BS159" s="3">
        <v>1100000</v>
      </c>
    </row>
    <row r="160" spans="1:71">
      <c r="A160" s="1" t="s">
        <v>84</v>
      </c>
      <c r="B160" s="1">
        <v>14</v>
      </c>
      <c r="C160" s="1">
        <v>114.958</v>
      </c>
      <c r="D160" s="1">
        <v>24.0445</v>
      </c>
      <c r="E160" s="1">
        <v>2013</v>
      </c>
      <c r="F160" s="1">
        <v>0.32919616648797</v>
      </c>
      <c r="G160" s="1">
        <v>6.7465285342539</v>
      </c>
      <c r="H160" s="1">
        <v>4.78122212976845</v>
      </c>
      <c r="I160" s="1">
        <v>4.66579480780452</v>
      </c>
      <c r="J160" s="1">
        <v>4.73171472731304</v>
      </c>
      <c r="K160" s="1">
        <v>5.15144017068727</v>
      </c>
      <c r="L160" s="1">
        <v>0.0400694</v>
      </c>
      <c r="M160" s="1">
        <v>3.43398720448514</v>
      </c>
      <c r="N160" s="1">
        <v>1.0986123</v>
      </c>
      <c r="O160" s="1">
        <v>10.0212705881925</v>
      </c>
      <c r="P160" s="1">
        <v>118.25</v>
      </c>
      <c r="Q160" s="1">
        <v>105.25</v>
      </c>
      <c r="R160" s="1">
        <v>112.49</v>
      </c>
      <c r="S160" s="1">
        <v>171.68</v>
      </c>
      <c r="T160" s="1">
        <v>47.78</v>
      </c>
      <c r="U160" s="1">
        <v>30</v>
      </c>
      <c r="V160" s="1">
        <v>2</v>
      </c>
      <c r="W160" s="1">
        <v>22499</v>
      </c>
      <c r="X160" s="1">
        <v>0.294214723804462</v>
      </c>
      <c r="Y160" s="1">
        <v>9.07</v>
      </c>
      <c r="Z160" s="1">
        <v>0.4955</v>
      </c>
      <c r="AA160" s="1">
        <v>5.26809653353495</v>
      </c>
      <c r="AB160" s="1">
        <f t="shared" si="6"/>
        <v>1.66166910822623</v>
      </c>
      <c r="AC160" s="1">
        <v>1.9511472086471</v>
      </c>
      <c r="AD160" s="1">
        <v>0.00343434903047091</v>
      </c>
      <c r="AE160" s="1">
        <v>0.948995583416441</v>
      </c>
      <c r="AF160" s="1">
        <v>1</v>
      </c>
      <c r="AG160" s="1">
        <v>0.356862</v>
      </c>
      <c r="AH160" s="2">
        <v>3.88732</v>
      </c>
      <c r="AI160" s="1">
        <v>164.181118755045</v>
      </c>
      <c r="AJ160" s="1">
        <v>0.17358513153563</v>
      </c>
      <c r="AK160" s="1">
        <v>0.129047747666637</v>
      </c>
      <c r="AL160" s="1">
        <v>0.127460279819777</v>
      </c>
      <c r="AM160" s="1">
        <v>0.140655218894684</v>
      </c>
      <c r="AN160" s="1">
        <v>0</v>
      </c>
      <c r="AO160" s="1">
        <v>0.04436838</v>
      </c>
      <c r="AP160" s="1">
        <v>0.0569807</v>
      </c>
      <c r="AQ160" s="1">
        <v>0.05377071</v>
      </c>
      <c r="AR160" s="1">
        <v>0.0406754</v>
      </c>
      <c r="AS160" s="1">
        <v>0.05608538</v>
      </c>
      <c r="AT160" s="1">
        <v>0.04850061</v>
      </c>
      <c r="AU160" s="1">
        <v>0.0602674</v>
      </c>
      <c r="AV160" s="1">
        <v>0.03488527</v>
      </c>
      <c r="AW160" s="1">
        <v>0.10672063</v>
      </c>
      <c r="AX160" s="1">
        <v>0.04289391</v>
      </c>
      <c r="AY160" s="1">
        <v>0.03882668</v>
      </c>
      <c r="AZ160" s="1">
        <v>147</v>
      </c>
      <c r="BA160" s="1">
        <v>12.398</v>
      </c>
      <c r="BB160" s="1">
        <f t="shared" si="7"/>
        <v>4.99043258677874</v>
      </c>
      <c r="BC160" s="1">
        <v>0.000367</v>
      </c>
      <c r="BD160" s="1">
        <v>361</v>
      </c>
      <c r="BE160" s="1">
        <v>0.77175909280777</v>
      </c>
      <c r="BF160" s="1">
        <v>-205.631829</v>
      </c>
      <c r="BG160" s="1">
        <v>-1.264856</v>
      </c>
      <c r="BH160" s="1">
        <v>668.922301</v>
      </c>
      <c r="BI160" s="1">
        <f t="shared" si="8"/>
        <v>6.50566791138023</v>
      </c>
      <c r="BJ160" s="1">
        <v>3.088633333</v>
      </c>
      <c r="BM160" s="1">
        <v>145682</v>
      </c>
      <c r="BN160" s="1">
        <v>3340000</v>
      </c>
      <c r="BO160" s="1">
        <v>0.0436</v>
      </c>
      <c r="BP160" s="1">
        <v>0.34508</v>
      </c>
      <c r="BQ160" s="1">
        <v>27.913468</v>
      </c>
      <c r="BR160" s="1">
        <v>13251.1</v>
      </c>
      <c r="BS160" s="3">
        <v>1100000</v>
      </c>
    </row>
    <row r="161" spans="1:71">
      <c r="A161" s="1" t="s">
        <v>84</v>
      </c>
      <c r="B161" s="1">
        <v>14</v>
      </c>
      <c r="C161" s="1">
        <v>114.958</v>
      </c>
      <c r="D161" s="1">
        <v>24.0445</v>
      </c>
      <c r="E161" s="1">
        <v>2014</v>
      </c>
      <c r="F161" s="1">
        <v>0.347735473772251</v>
      </c>
      <c r="G161" s="1">
        <v>6.53019807384937</v>
      </c>
      <c r="H161" s="1">
        <v>4.9066072236722</v>
      </c>
      <c r="I161" s="1">
        <v>4.93756268320693</v>
      </c>
      <c r="J161" s="1">
        <v>4.74918394612699</v>
      </c>
      <c r="K161" s="1">
        <v>5.05567239257097</v>
      </c>
      <c r="L161" s="1">
        <v>0.0400694</v>
      </c>
      <c r="M161" s="1">
        <v>0</v>
      </c>
      <c r="N161" s="1">
        <v>1.0986123</v>
      </c>
      <c r="O161" s="1">
        <v>10.1349563525963</v>
      </c>
      <c r="P161" s="1">
        <v>134.18</v>
      </c>
      <c r="Q161" s="1">
        <v>138.43</v>
      </c>
      <c r="R161" s="1">
        <v>114.49</v>
      </c>
      <c r="S161" s="1">
        <v>155.91</v>
      </c>
      <c r="T161" s="1">
        <v>57.42</v>
      </c>
      <c r="U161" s="1">
        <v>0</v>
      </c>
      <c r="V161" s="1">
        <v>2</v>
      </c>
      <c r="W161" s="1">
        <v>25208</v>
      </c>
      <c r="X161" s="1">
        <v>0.316145146385216</v>
      </c>
      <c r="Y161" s="1">
        <v>7.79</v>
      </c>
      <c r="Z161" s="1">
        <v>0.47080000002601</v>
      </c>
      <c r="AA161" s="1">
        <v>5.27648892478044</v>
      </c>
      <c r="AB161" s="1">
        <f t="shared" si="6"/>
        <v>1.66326090015598</v>
      </c>
      <c r="AC161" s="1">
        <v>2.04815224801177</v>
      </c>
      <c r="AD161" s="1">
        <v>0.00347276211333151</v>
      </c>
      <c r="AE161" s="1">
        <v>0.980800877674164</v>
      </c>
      <c r="AF161" s="1">
        <v>0</v>
      </c>
      <c r="AG161" s="1">
        <v>0.392836</v>
      </c>
      <c r="AH161" s="2">
        <v>4.06766</v>
      </c>
      <c r="AI161" s="1">
        <v>164.181118755045</v>
      </c>
      <c r="AJ161" s="1">
        <v>0.17358513153563</v>
      </c>
      <c r="AK161" s="1">
        <v>0.129047747666637</v>
      </c>
      <c r="AL161" s="1">
        <v>0.127460279819777</v>
      </c>
      <c r="AM161" s="1">
        <v>0.140655218894684</v>
      </c>
      <c r="AN161" s="1">
        <v>0</v>
      </c>
      <c r="AO161" s="1">
        <v>0.04436838</v>
      </c>
      <c r="AP161" s="1">
        <v>0.0569807</v>
      </c>
      <c r="AQ161" s="1">
        <v>0.05377071</v>
      </c>
      <c r="AR161" s="1">
        <v>0.0406754</v>
      </c>
      <c r="AS161" s="1">
        <v>0.05608538</v>
      </c>
      <c r="AT161" s="1">
        <v>0.04850061</v>
      </c>
      <c r="AU161" s="1">
        <v>0.0602674</v>
      </c>
      <c r="AV161" s="1">
        <v>0.03488527</v>
      </c>
      <c r="AW161" s="1">
        <v>0.10672063</v>
      </c>
      <c r="AX161" s="1">
        <v>0.04289391</v>
      </c>
      <c r="AY161" s="1">
        <v>0.03882668</v>
      </c>
      <c r="AZ161" s="1">
        <v>164</v>
      </c>
      <c r="BA161" s="1">
        <v>12.686</v>
      </c>
      <c r="BB161" s="1">
        <f t="shared" si="7"/>
        <v>5.0998664278242</v>
      </c>
      <c r="BC161" s="1">
        <v>0.000156</v>
      </c>
      <c r="BD161" s="1">
        <v>293.23</v>
      </c>
      <c r="BE161" s="1">
        <v>0.882133603096008</v>
      </c>
      <c r="BF161" s="1">
        <v>-69.262594</v>
      </c>
      <c r="BG161" s="1">
        <v>-1.302382</v>
      </c>
      <c r="BH161" s="1">
        <v>734.839960546126</v>
      </c>
      <c r="BI161" s="1">
        <f t="shared" si="8"/>
        <v>6.59965273475031</v>
      </c>
      <c r="BJ161" s="1">
        <v>3.088633333</v>
      </c>
      <c r="BM161" s="1">
        <v>145682</v>
      </c>
      <c r="BN161" s="1">
        <v>3340000</v>
      </c>
      <c r="BO161" s="1">
        <v>0.0436</v>
      </c>
      <c r="BP161" s="1">
        <v>0.34508</v>
      </c>
      <c r="BQ161" s="1">
        <v>27.913468</v>
      </c>
      <c r="BR161" s="1">
        <v>13251.1</v>
      </c>
      <c r="BS161" s="3">
        <v>1100000</v>
      </c>
    </row>
    <row r="162" spans="1:71">
      <c r="A162" s="1" t="s">
        <v>84</v>
      </c>
      <c r="B162" s="1">
        <v>14</v>
      </c>
      <c r="C162" s="1">
        <v>114.958</v>
      </c>
      <c r="D162" s="1">
        <v>24.0445</v>
      </c>
      <c r="E162" s="1">
        <v>2015</v>
      </c>
      <c r="F162" s="1">
        <v>0.334386787567258</v>
      </c>
      <c r="G162" s="1">
        <v>6.55769051430505</v>
      </c>
      <c r="H162" s="1">
        <v>5.12020693052554</v>
      </c>
      <c r="I162" s="1">
        <v>5.06802331120498</v>
      </c>
      <c r="J162" s="1">
        <v>4.93849461631857</v>
      </c>
      <c r="K162" s="1">
        <v>5.50553476731198</v>
      </c>
      <c r="L162" s="1">
        <v>0.0400694</v>
      </c>
      <c r="M162" s="1">
        <v>1.79175946922805</v>
      </c>
      <c r="N162" s="1">
        <v>1.3862944</v>
      </c>
      <c r="O162" s="1">
        <v>10.1811950438407</v>
      </c>
      <c r="P162" s="1">
        <v>166.37</v>
      </c>
      <c r="Q162" s="1">
        <v>157.86</v>
      </c>
      <c r="R162" s="1">
        <v>138.56</v>
      </c>
      <c r="S162" s="1">
        <v>245.05</v>
      </c>
      <c r="T162" s="1">
        <v>55.06</v>
      </c>
      <c r="U162" s="1">
        <v>5</v>
      </c>
      <c r="V162" s="1">
        <v>3</v>
      </c>
      <c r="W162" s="1">
        <v>26401</v>
      </c>
      <c r="X162" s="1">
        <v>0.309846208883501</v>
      </c>
      <c r="Y162" s="1">
        <v>11.77</v>
      </c>
      <c r="Z162" s="1">
        <v>0.457099999962967</v>
      </c>
      <c r="AA162" s="1">
        <v>5.22600628713791</v>
      </c>
      <c r="AB162" s="1">
        <f t="shared" si="6"/>
        <v>1.65364737014743</v>
      </c>
      <c r="AC162" s="1">
        <v>2.2096321927989</v>
      </c>
      <c r="AD162" s="1">
        <v>0.00309762288147157</v>
      </c>
      <c r="AE162" s="1">
        <v>0.614050303555941</v>
      </c>
      <c r="AF162" s="1">
        <v>1</v>
      </c>
      <c r="AG162" s="1">
        <v>0.40677</v>
      </c>
      <c r="AH162" s="2">
        <v>4.02642</v>
      </c>
      <c r="AI162" s="1">
        <v>164.181118755045</v>
      </c>
      <c r="AJ162" s="1">
        <v>0.17358513153563</v>
      </c>
      <c r="AK162" s="1">
        <v>0.129047747666637</v>
      </c>
      <c r="AL162" s="1">
        <v>0.127460279819777</v>
      </c>
      <c r="AM162" s="1">
        <v>0.140655218894684</v>
      </c>
      <c r="AN162" s="1">
        <v>0</v>
      </c>
      <c r="AO162" s="1">
        <v>0.04436838</v>
      </c>
      <c r="AP162" s="1">
        <v>0.0569807</v>
      </c>
      <c r="AQ162" s="1">
        <v>0.05377071</v>
      </c>
      <c r="AR162" s="1">
        <v>0.0406754</v>
      </c>
      <c r="AS162" s="1">
        <v>0.05608538</v>
      </c>
      <c r="AT162" s="1">
        <v>0.04850061</v>
      </c>
      <c r="AU162" s="1">
        <v>0.0602674</v>
      </c>
      <c r="AV162" s="1">
        <v>0.03488527</v>
      </c>
      <c r="AW162" s="1">
        <v>0.10672063</v>
      </c>
      <c r="AX162" s="1">
        <v>0.04289391</v>
      </c>
      <c r="AY162" s="1">
        <v>0.03882668</v>
      </c>
      <c r="AZ162" s="1">
        <v>203</v>
      </c>
      <c r="BA162" s="1">
        <v>11.35</v>
      </c>
      <c r="BB162" s="1">
        <f t="shared" si="7"/>
        <v>5.31320597904179</v>
      </c>
      <c r="BC162" s="1">
        <v>0.000328</v>
      </c>
      <c r="BD162" s="1">
        <v>291.24</v>
      </c>
      <c r="BE162" s="1">
        <v>1.17548954486847</v>
      </c>
      <c r="BF162" s="1">
        <v>-63.983858</v>
      </c>
      <c r="BG162" s="1">
        <v>-1.813852</v>
      </c>
      <c r="BH162" s="1">
        <v>768.683997152615</v>
      </c>
      <c r="BI162" s="1">
        <f t="shared" si="8"/>
        <v>6.64467995807232</v>
      </c>
      <c r="BJ162" s="1">
        <v>3.088633333</v>
      </c>
      <c r="BM162" s="1">
        <v>145682</v>
      </c>
      <c r="BN162" s="1">
        <v>3340000</v>
      </c>
      <c r="BO162" s="1">
        <v>0.0436</v>
      </c>
      <c r="BP162" s="1">
        <v>0.34508</v>
      </c>
      <c r="BQ162" s="1">
        <v>27.913468</v>
      </c>
      <c r="BR162" s="1">
        <v>13251.1</v>
      </c>
      <c r="BS162" s="3">
        <v>1100000</v>
      </c>
    </row>
    <row r="163" spans="1:71">
      <c r="A163" s="1" t="s">
        <v>84</v>
      </c>
      <c r="B163" s="1">
        <v>14</v>
      </c>
      <c r="C163" s="1">
        <v>114.958</v>
      </c>
      <c r="D163" s="1">
        <v>24.0445</v>
      </c>
      <c r="E163" s="1">
        <v>2016</v>
      </c>
      <c r="F163" s="1">
        <v>0.348374739115888</v>
      </c>
      <c r="G163" s="1">
        <v>6.55910258826405</v>
      </c>
      <c r="H163" s="1">
        <v>5.27346055792823</v>
      </c>
      <c r="I163" s="1">
        <v>5.13640306246276</v>
      </c>
      <c r="J163" s="1">
        <v>5.28360954993472</v>
      </c>
      <c r="K163" s="1">
        <v>5.61310082718387</v>
      </c>
      <c r="L163" s="1">
        <v>0.0400694</v>
      </c>
      <c r="M163" s="1">
        <v>1.38629436111989</v>
      </c>
      <c r="N163" s="1">
        <v>1.7917595</v>
      </c>
      <c r="O163" s="1">
        <v>10.2821294466004</v>
      </c>
      <c r="P163" s="1">
        <v>194.089915645659</v>
      </c>
      <c r="Q163" s="1">
        <v>169.102817388659</v>
      </c>
      <c r="R163" s="1">
        <v>196.079963003005</v>
      </c>
      <c r="S163" s="1">
        <v>272.992525646756</v>
      </c>
      <c r="T163" s="1">
        <v>61.89</v>
      </c>
      <c r="U163" s="1">
        <v>3</v>
      </c>
      <c r="V163" s="1">
        <v>5</v>
      </c>
      <c r="W163" s="1">
        <v>29205</v>
      </c>
      <c r="X163" s="1">
        <v>0.29041425980749</v>
      </c>
      <c r="Y163" s="1">
        <v>9.12</v>
      </c>
      <c r="Z163" s="1">
        <v>0.4355</v>
      </c>
      <c r="AA163" s="1">
        <v>5.21873503157162</v>
      </c>
      <c r="AB163" s="1">
        <f t="shared" si="6"/>
        <v>1.65225504141107</v>
      </c>
      <c r="AC163" s="1">
        <v>2.25581423813213</v>
      </c>
      <c r="AD163" s="1">
        <v>0.00323994638069705</v>
      </c>
      <c r="AE163" s="1">
        <v>0.95952906548933</v>
      </c>
      <c r="AF163" s="1">
        <v>1</v>
      </c>
      <c r="AG163" s="1">
        <v>0.376272</v>
      </c>
      <c r="AH163" s="2">
        <v>4.14139</v>
      </c>
      <c r="AI163" s="1">
        <v>164.181118755045</v>
      </c>
      <c r="AJ163" s="1">
        <v>0.17358513153563</v>
      </c>
      <c r="AK163" s="1">
        <v>0.129047747666637</v>
      </c>
      <c r="AL163" s="1">
        <v>0.127460279819777</v>
      </c>
      <c r="AM163" s="1">
        <v>0.140655218894684</v>
      </c>
      <c r="AN163" s="1">
        <v>0</v>
      </c>
      <c r="AO163" s="1">
        <v>0.04436838</v>
      </c>
      <c r="AP163" s="1">
        <v>0.0569807</v>
      </c>
      <c r="AQ163" s="1">
        <v>0.05377071</v>
      </c>
      <c r="AR163" s="1">
        <v>0.0406754</v>
      </c>
      <c r="AS163" s="1">
        <v>0.05608538</v>
      </c>
      <c r="AT163" s="1">
        <v>0.04850061</v>
      </c>
      <c r="AU163" s="1">
        <v>0.0602674</v>
      </c>
      <c r="AV163" s="1">
        <v>0.03488527</v>
      </c>
      <c r="AW163" s="1">
        <v>0.10672063</v>
      </c>
      <c r="AX163" s="1">
        <v>0.04289391</v>
      </c>
      <c r="AY163" s="1">
        <v>0.03882668</v>
      </c>
      <c r="AZ163" s="1">
        <v>597</v>
      </c>
      <c r="BA163" s="1">
        <v>12.085</v>
      </c>
      <c r="BB163" s="1">
        <f t="shared" si="7"/>
        <v>6.3919171133926</v>
      </c>
      <c r="BC163" s="1">
        <v>0.0001</v>
      </c>
      <c r="BD163" s="1">
        <v>289.13</v>
      </c>
      <c r="BE163" s="1">
        <v>1.36833810806274</v>
      </c>
      <c r="BF163" s="1">
        <v>-103.19231</v>
      </c>
      <c r="BG163" s="1">
        <v>-1.434989</v>
      </c>
      <c r="BH163" s="1">
        <v>847.796711</v>
      </c>
      <c r="BI163" s="1">
        <f t="shared" si="8"/>
        <v>6.74264087945831</v>
      </c>
      <c r="BJ163" s="1">
        <v>3.088633333</v>
      </c>
      <c r="BM163" s="1">
        <v>145682</v>
      </c>
      <c r="BN163" s="1">
        <v>3340000</v>
      </c>
      <c r="BO163" s="1">
        <v>0.0436</v>
      </c>
      <c r="BP163" s="1">
        <v>0.34508</v>
      </c>
      <c r="BQ163" s="1">
        <v>27.913468</v>
      </c>
      <c r="BR163" s="1">
        <v>13251.1</v>
      </c>
      <c r="BS163" s="3">
        <v>1100000</v>
      </c>
    </row>
    <row r="164" spans="1:71">
      <c r="A164" s="1" t="s">
        <v>84</v>
      </c>
      <c r="B164" s="1">
        <v>14</v>
      </c>
      <c r="C164" s="1">
        <v>114.958</v>
      </c>
      <c r="D164" s="1">
        <v>24.0445</v>
      </c>
      <c r="E164" s="1">
        <v>2017</v>
      </c>
      <c r="F164" s="1">
        <v>0.301436654600554</v>
      </c>
      <c r="G164" s="1">
        <v>6.58565351678225</v>
      </c>
      <c r="H164" s="1">
        <v>5.39658162512562</v>
      </c>
      <c r="I164" s="1">
        <v>5.26204334503146</v>
      </c>
      <c r="J164" s="1">
        <v>5.51727346510682</v>
      </c>
      <c r="K164" s="1">
        <v>5.56431097849745</v>
      </c>
      <c r="L164" s="1">
        <v>0.0400694</v>
      </c>
      <c r="M164" s="1">
        <v>3.60712695224167</v>
      </c>
      <c r="N164" s="1">
        <v>2.5649493</v>
      </c>
      <c r="O164" s="1">
        <v>10.3307233304658</v>
      </c>
      <c r="P164" s="1">
        <v>219.650858158966</v>
      </c>
      <c r="Q164" s="1">
        <v>191.875199509717</v>
      </c>
      <c r="R164" s="1">
        <v>247.9553256264</v>
      </c>
      <c r="S164" s="1">
        <v>259.945344838525</v>
      </c>
      <c r="T164" s="1">
        <v>66.86</v>
      </c>
      <c r="U164" s="1">
        <v>35.86</v>
      </c>
      <c r="V164" s="1">
        <v>12</v>
      </c>
      <c r="W164" s="1">
        <v>30659.2814</v>
      </c>
      <c r="X164" s="1">
        <v>0.275217489458451</v>
      </c>
      <c r="Y164" s="1">
        <v>12.55</v>
      </c>
      <c r="Z164" s="4">
        <v>0.42</v>
      </c>
      <c r="AA164" s="1">
        <v>5.21266399941246</v>
      </c>
      <c r="AB164" s="1">
        <f t="shared" si="6"/>
        <v>1.651091049347</v>
      </c>
      <c r="AC164" s="1">
        <v>2.39540276874713</v>
      </c>
      <c r="AD164" s="1">
        <v>0.00322117962466488</v>
      </c>
      <c r="AE164" s="1">
        <v>0.640411388435971</v>
      </c>
      <c r="AF164" s="1">
        <v>13</v>
      </c>
      <c r="AG164" s="1">
        <v>0.41884</v>
      </c>
      <c r="AH164" s="2">
        <v>4.21745</v>
      </c>
      <c r="AI164" s="1">
        <v>164.181118755045</v>
      </c>
      <c r="AJ164" s="1">
        <v>0.17358513153563</v>
      </c>
      <c r="AK164" s="1">
        <v>0.129047747666637</v>
      </c>
      <c r="AL164" s="1">
        <v>0.127460279819777</v>
      </c>
      <c r="AM164" s="1">
        <v>0.140655218894684</v>
      </c>
      <c r="AN164" s="1">
        <v>0</v>
      </c>
      <c r="AO164" s="1">
        <v>0.04436838</v>
      </c>
      <c r="AP164" s="1">
        <v>0.0569807</v>
      </c>
      <c r="AQ164" s="1">
        <v>0.05377071</v>
      </c>
      <c r="AR164" s="1">
        <v>0.0406754</v>
      </c>
      <c r="AS164" s="1">
        <v>0.05608538</v>
      </c>
      <c r="AT164" s="1">
        <v>0.04850061</v>
      </c>
      <c r="AU164" s="1">
        <v>0.0602674</v>
      </c>
      <c r="AV164" s="1">
        <v>0.03488527</v>
      </c>
      <c r="AW164" s="1">
        <v>0.10672063</v>
      </c>
      <c r="AX164" s="1">
        <v>0.04289391</v>
      </c>
      <c r="AY164" s="1">
        <v>0.03882668</v>
      </c>
      <c r="AZ164" s="1">
        <v>625</v>
      </c>
      <c r="BA164" s="1">
        <v>12.015</v>
      </c>
      <c r="BB164" s="1">
        <f t="shared" si="7"/>
        <v>6.4377516497364</v>
      </c>
      <c r="BC164" s="1">
        <v>0.000142</v>
      </c>
      <c r="BD164" s="1">
        <v>287.38</v>
      </c>
      <c r="BE164" s="1">
        <v>1.53697907924652</v>
      </c>
      <c r="BF164" s="1">
        <v>41.08141</v>
      </c>
      <c r="BG164" s="1">
        <v>-0.563214</v>
      </c>
      <c r="BH164" s="1">
        <v>968.100476385047</v>
      </c>
      <c r="BI164" s="1">
        <f t="shared" si="8"/>
        <v>6.87533587980838</v>
      </c>
      <c r="BJ164" s="1">
        <v>3.088633333</v>
      </c>
      <c r="BM164" s="1">
        <v>145682</v>
      </c>
      <c r="BN164" s="1">
        <v>3340000</v>
      </c>
      <c r="BO164" s="1">
        <v>0.0436</v>
      </c>
      <c r="BP164" s="1">
        <v>0.34508</v>
      </c>
      <c r="BQ164" s="1">
        <v>27.913468</v>
      </c>
      <c r="BR164" s="1">
        <v>13251.1</v>
      </c>
      <c r="BS164" s="3">
        <v>1100000</v>
      </c>
    </row>
    <row r="165" spans="1:71">
      <c r="A165" s="1" t="s">
        <v>84</v>
      </c>
      <c r="B165" s="1">
        <v>14</v>
      </c>
      <c r="C165" s="1">
        <v>114.958</v>
      </c>
      <c r="D165" s="1">
        <v>24.0445</v>
      </c>
      <c r="E165" s="1">
        <v>2018</v>
      </c>
      <c r="F165" s="1">
        <v>0.304942686413246</v>
      </c>
      <c r="G165" s="1">
        <v>6.69077651227471</v>
      </c>
      <c r="H165" s="1">
        <v>5.44471385202377</v>
      </c>
      <c r="I165" s="1">
        <v>5.36880595788814</v>
      </c>
      <c r="J165" s="1">
        <v>5.47834335261783</v>
      </c>
      <c r="K165" s="1">
        <v>5.60961909019732</v>
      </c>
      <c r="L165" s="1">
        <v>0.0400694</v>
      </c>
      <c r="M165" s="1">
        <v>3.25037449192757</v>
      </c>
      <c r="N165" s="1">
        <v>2.5649493</v>
      </c>
      <c r="O165" s="1">
        <v>10.3899487598495</v>
      </c>
      <c r="P165" s="1">
        <v>230.531018090463</v>
      </c>
      <c r="Q165" s="1">
        <v>213.606465466149</v>
      </c>
      <c r="R165" s="1">
        <v>238.449694913628</v>
      </c>
      <c r="S165" s="1">
        <v>272.040214531414</v>
      </c>
      <c r="T165" s="1">
        <v>68.42</v>
      </c>
      <c r="U165" s="1">
        <v>24.8</v>
      </c>
      <c r="V165" s="1">
        <v>12</v>
      </c>
      <c r="W165" s="1">
        <v>32530</v>
      </c>
      <c r="X165" s="1">
        <v>0.268985361570103</v>
      </c>
      <c r="Y165" s="1">
        <v>18.84</v>
      </c>
      <c r="Z165" s="1">
        <v>0.38329999999006</v>
      </c>
      <c r="AA165" s="1">
        <v>5.20746573906317</v>
      </c>
      <c r="AB165" s="1">
        <f t="shared" si="6"/>
        <v>1.65009331497881</v>
      </c>
      <c r="AC165" s="1">
        <v>2.51526193716975</v>
      </c>
      <c r="AD165" s="1">
        <v>0.00331018766756032</v>
      </c>
      <c r="AE165" s="1">
        <v>0.942004879130628</v>
      </c>
      <c r="AF165" s="1">
        <v>2</v>
      </c>
      <c r="AG165" s="1">
        <v>0.448096</v>
      </c>
      <c r="AH165" s="2">
        <v>4.24018</v>
      </c>
      <c r="AI165" s="1">
        <v>164.181118755045</v>
      </c>
      <c r="AJ165" s="1">
        <v>0.17358513153563</v>
      </c>
      <c r="AK165" s="1">
        <v>0.129047747666637</v>
      </c>
      <c r="AL165" s="1">
        <v>0.127460279819777</v>
      </c>
      <c r="AM165" s="1">
        <v>0.140655218894684</v>
      </c>
      <c r="AN165" s="1">
        <v>0</v>
      </c>
      <c r="AO165" s="1">
        <v>0.04436838</v>
      </c>
      <c r="AP165" s="1">
        <v>0.0569807</v>
      </c>
      <c r="AQ165" s="1">
        <v>0.05377071</v>
      </c>
      <c r="AR165" s="1">
        <v>0.0406754</v>
      </c>
      <c r="AS165" s="1">
        <v>0.05608538</v>
      </c>
      <c r="AT165" s="1">
        <v>0.04850061</v>
      </c>
      <c r="AU165" s="1">
        <v>0.0602674</v>
      </c>
      <c r="AV165" s="1">
        <v>0.03488527</v>
      </c>
      <c r="AW165" s="1">
        <v>0.10672063</v>
      </c>
      <c r="AX165" s="1">
        <v>0.04289391</v>
      </c>
      <c r="AY165" s="1">
        <v>0.03882668</v>
      </c>
      <c r="AZ165" s="1">
        <v>1155</v>
      </c>
      <c r="BA165" s="1">
        <v>12.347</v>
      </c>
      <c r="BB165" s="1">
        <f t="shared" si="7"/>
        <v>7.05185562295589</v>
      </c>
      <c r="BC165" s="1">
        <v>0.000253</v>
      </c>
      <c r="BD165" s="1">
        <v>285.89</v>
      </c>
      <c r="BE165" s="1">
        <v>1.58013761043549</v>
      </c>
      <c r="BF165" s="1">
        <v>-7.460493</v>
      </c>
      <c r="BG165" s="1">
        <v>-0.0278860000000005</v>
      </c>
      <c r="BH165" s="1">
        <v>1006.9775</v>
      </c>
      <c r="BI165" s="1">
        <f t="shared" si="8"/>
        <v>6.91470854887411</v>
      </c>
      <c r="BJ165" s="1">
        <v>3.088633333</v>
      </c>
      <c r="BM165" s="1">
        <v>145682</v>
      </c>
      <c r="BN165" s="1">
        <v>3340000</v>
      </c>
      <c r="BO165" s="1">
        <v>0.0436</v>
      </c>
      <c r="BP165" s="1">
        <v>0.34508</v>
      </c>
      <c r="BQ165" s="1">
        <v>27.913468</v>
      </c>
      <c r="BR165" s="1">
        <v>13251.1</v>
      </c>
      <c r="BS165" s="3">
        <v>1100000</v>
      </c>
    </row>
    <row r="166" spans="1:71">
      <c r="A166" s="1" t="s">
        <v>84</v>
      </c>
      <c r="B166" s="1">
        <v>14</v>
      </c>
      <c r="C166" s="1">
        <v>114.958</v>
      </c>
      <c r="D166" s="1">
        <v>24.0445</v>
      </c>
      <c r="E166" s="1">
        <v>2019</v>
      </c>
      <c r="F166" s="1">
        <v>0.314579793791795</v>
      </c>
      <c r="G166" s="1">
        <v>6.66976966769809</v>
      </c>
      <c r="H166" s="1">
        <v>5.49037047366378</v>
      </c>
      <c r="I166" s="1">
        <v>5.44746318750859</v>
      </c>
      <c r="J166" s="1">
        <v>5.49831645353169</v>
      </c>
      <c r="K166" s="1">
        <v>5.60748387002095</v>
      </c>
      <c r="L166" s="1">
        <v>0.0400694</v>
      </c>
      <c r="M166" s="1">
        <v>4.50468664740976</v>
      </c>
      <c r="N166" s="1">
        <v>2.7725887</v>
      </c>
      <c r="O166" s="1">
        <v>10.4586201459561</v>
      </c>
      <c r="P166" s="1">
        <v>241.346973375474</v>
      </c>
      <c r="Q166" s="1">
        <v>231.168450415249</v>
      </c>
      <c r="R166" s="1">
        <v>243.280328552265</v>
      </c>
      <c r="S166" s="1">
        <v>271.457835515976</v>
      </c>
      <c r="T166" s="1">
        <v>68.5</v>
      </c>
      <c r="U166" s="1">
        <v>89.44</v>
      </c>
      <c r="V166" s="1">
        <v>15</v>
      </c>
      <c r="W166" s="1">
        <v>34842.4394</v>
      </c>
      <c r="X166" s="1">
        <v>0.280523362272385</v>
      </c>
      <c r="Y166" s="1">
        <v>15.65</v>
      </c>
      <c r="Z166" s="1">
        <v>0.3443</v>
      </c>
      <c r="AA166" s="1">
        <v>5.20375112868031</v>
      </c>
      <c r="AB166" s="1">
        <f t="shared" si="6"/>
        <v>1.64937973642451</v>
      </c>
      <c r="AC166" s="1">
        <v>2.58716737567573</v>
      </c>
      <c r="AD166" s="1">
        <v>0.00356756032171582</v>
      </c>
      <c r="AE166" s="1">
        <v>0.960581123641166</v>
      </c>
      <c r="AF166" s="1">
        <v>1</v>
      </c>
      <c r="AG166" s="1">
        <v>0.402636</v>
      </c>
      <c r="AH166" s="2">
        <v>4.24133</v>
      </c>
      <c r="AI166" s="1">
        <v>164.181118755045</v>
      </c>
      <c r="AJ166" s="1">
        <v>0.17358513153563</v>
      </c>
      <c r="AK166" s="1">
        <v>0.129047747666637</v>
      </c>
      <c r="AL166" s="1">
        <v>0.127460279819777</v>
      </c>
      <c r="AM166" s="1">
        <v>0.140655218894684</v>
      </c>
      <c r="AN166" s="1">
        <v>0</v>
      </c>
      <c r="AO166" s="1">
        <v>0.04436838</v>
      </c>
      <c r="AP166" s="1">
        <v>0.0569807</v>
      </c>
      <c r="AQ166" s="1">
        <v>0.05377071</v>
      </c>
      <c r="AR166" s="1">
        <v>0.0406754</v>
      </c>
      <c r="AS166" s="1">
        <v>0.05608538</v>
      </c>
      <c r="AT166" s="1">
        <v>0.04850061</v>
      </c>
      <c r="AU166" s="1">
        <v>0.0602674</v>
      </c>
      <c r="AV166" s="1">
        <v>0.03488527</v>
      </c>
      <c r="AW166" s="1">
        <v>0.10672063</v>
      </c>
      <c r="AX166" s="1">
        <v>0.04289391</v>
      </c>
      <c r="AY166" s="1">
        <v>0.03882668</v>
      </c>
      <c r="AZ166" s="1">
        <v>947</v>
      </c>
      <c r="BA166" s="1">
        <v>13.352</v>
      </c>
      <c r="BB166" s="1">
        <f t="shared" si="7"/>
        <v>6.85329909318608</v>
      </c>
      <c r="BC166" s="1">
        <v>0.00054</v>
      </c>
      <c r="BD166" s="1">
        <v>284.83</v>
      </c>
      <c r="BE166" s="1">
        <v>1.57488203048706</v>
      </c>
      <c r="BF166" s="1">
        <v>-15.765594</v>
      </c>
      <c r="BG166" s="1">
        <v>-0.570761</v>
      </c>
      <c r="BH166" s="1">
        <v>1079.75411506449</v>
      </c>
      <c r="BI166" s="1">
        <f t="shared" si="8"/>
        <v>6.98448862296065</v>
      </c>
      <c r="BJ166" s="1">
        <v>3.088633333</v>
      </c>
      <c r="BM166" s="1">
        <v>145682</v>
      </c>
      <c r="BN166" s="1">
        <v>3340000</v>
      </c>
      <c r="BO166" s="1">
        <v>0.0436</v>
      </c>
      <c r="BP166" s="1">
        <v>0.34508</v>
      </c>
      <c r="BQ166" s="1">
        <v>27.913468</v>
      </c>
      <c r="BR166" s="1">
        <v>13251.1</v>
      </c>
      <c r="BS166" s="3">
        <v>1100000</v>
      </c>
    </row>
    <row r="167" spans="1:71">
      <c r="A167" s="1" t="s">
        <v>84</v>
      </c>
      <c r="B167" s="1">
        <v>14</v>
      </c>
      <c r="C167" s="1">
        <v>114.958</v>
      </c>
      <c r="D167" s="1">
        <v>24.0445</v>
      </c>
      <c r="E167" s="1">
        <v>2020</v>
      </c>
      <c r="F167" s="1">
        <v>0.254360059255411</v>
      </c>
      <c r="G167" s="1">
        <v>6.86919208727824</v>
      </c>
      <c r="H167" s="1">
        <v>5.54196135731715</v>
      </c>
      <c r="I167" s="1">
        <v>5.50895148737708</v>
      </c>
      <c r="J167" s="1">
        <v>5.53253678891871</v>
      </c>
      <c r="K167" s="1">
        <v>5.65914428305704</v>
      </c>
      <c r="L167" s="1">
        <v>0.0400694</v>
      </c>
      <c r="M167" s="1">
        <v>0</v>
      </c>
      <c r="N167" s="1">
        <v>2.3978953</v>
      </c>
      <c r="O167" s="1">
        <v>10.5662596277447</v>
      </c>
      <c r="P167" s="1">
        <v>254.178004184061</v>
      </c>
      <c r="Q167" s="1">
        <v>245.892121790768</v>
      </c>
      <c r="R167" s="1">
        <v>251.784358926312</v>
      </c>
      <c r="S167" s="1">
        <v>285.903029725779</v>
      </c>
      <c r="T167" s="1">
        <v>43.39</v>
      </c>
      <c r="U167" s="1">
        <v>0</v>
      </c>
      <c r="V167" s="1">
        <v>10</v>
      </c>
      <c r="W167" s="1">
        <v>38802.2633</v>
      </c>
      <c r="X167" s="1">
        <v>0.266007001281987</v>
      </c>
      <c r="Y167" s="1">
        <v>12.12</v>
      </c>
      <c r="Z167" s="1">
        <v>0.34</v>
      </c>
      <c r="AA167" s="1">
        <v>5.19928235859822</v>
      </c>
      <c r="AB167" s="1">
        <f t="shared" si="6"/>
        <v>1.64852060810153</v>
      </c>
      <c r="AC167" s="1">
        <v>2.80898069528391</v>
      </c>
      <c r="AD167" s="1">
        <v>0.0055055033557047</v>
      </c>
      <c r="AE167" s="1">
        <v>0.849237029501526</v>
      </c>
      <c r="AF167" s="1">
        <v>0</v>
      </c>
      <c r="AG167" s="1">
        <v>0.44896</v>
      </c>
      <c r="AH167" s="2">
        <v>3.79301</v>
      </c>
      <c r="AI167" s="1">
        <v>164.181118755045</v>
      </c>
      <c r="AJ167" s="1">
        <v>0.17358513153563</v>
      </c>
      <c r="AK167" s="1">
        <v>0.129047747666637</v>
      </c>
      <c r="AL167" s="1">
        <v>0.127460279819777</v>
      </c>
      <c r="AM167" s="1">
        <v>0.140655218894684</v>
      </c>
      <c r="AN167" s="1">
        <v>0</v>
      </c>
      <c r="AO167" s="1">
        <v>0.04436838</v>
      </c>
      <c r="AP167" s="1">
        <v>0.0569807</v>
      </c>
      <c r="AQ167" s="1">
        <v>0.05377071</v>
      </c>
      <c r="AR167" s="1">
        <v>0.0406754</v>
      </c>
      <c r="AS167" s="1">
        <v>0.05608538</v>
      </c>
      <c r="AT167" s="1">
        <v>0.04850061</v>
      </c>
      <c r="AU167" s="1">
        <v>0.0602674</v>
      </c>
      <c r="AV167" s="1">
        <v>0.03488527</v>
      </c>
      <c r="AW167" s="1">
        <v>0.10672063</v>
      </c>
      <c r="AX167" s="1">
        <v>0.04289391</v>
      </c>
      <c r="AY167" s="1">
        <v>0.03882668</v>
      </c>
      <c r="AZ167" s="1">
        <v>1109</v>
      </c>
      <c r="BA167" s="1">
        <v>20.508</v>
      </c>
      <c r="BB167" s="1">
        <f t="shared" si="7"/>
        <v>7.01121398735037</v>
      </c>
      <c r="BC167" s="1">
        <v>0.00031</v>
      </c>
      <c r="BD167" s="1">
        <v>283.56</v>
      </c>
      <c r="BE167" s="1">
        <v>1.57781529426575</v>
      </c>
      <c r="BF167" s="1">
        <v>-1.164041</v>
      </c>
      <c r="BG167" s="1">
        <v>-2.480005</v>
      </c>
      <c r="BH167" s="1">
        <v>1102.7409</v>
      </c>
      <c r="BI167" s="1">
        <f t="shared" si="8"/>
        <v>7.00555408685397</v>
      </c>
      <c r="BJ167" s="1">
        <v>3.088633333</v>
      </c>
      <c r="BM167" s="1">
        <v>145682</v>
      </c>
      <c r="BN167" s="1">
        <v>3340000</v>
      </c>
      <c r="BO167" s="1">
        <v>0.0436</v>
      </c>
      <c r="BP167" s="1">
        <v>0.34508</v>
      </c>
      <c r="BQ167" s="1">
        <v>27.913468</v>
      </c>
      <c r="BR167" s="1">
        <v>13251.1</v>
      </c>
      <c r="BS167" s="3">
        <v>1100000</v>
      </c>
    </row>
    <row r="168" spans="1:71">
      <c r="A168" s="1" t="s">
        <v>84</v>
      </c>
      <c r="B168" s="1">
        <v>14</v>
      </c>
      <c r="C168" s="1">
        <v>114.958</v>
      </c>
      <c r="D168" s="1">
        <v>24.0445</v>
      </c>
      <c r="E168" s="1">
        <v>2021</v>
      </c>
      <c r="F168" s="1">
        <v>0.24893892379141</v>
      </c>
      <c r="G168" s="1">
        <v>7.11231313735509</v>
      </c>
      <c r="H168" s="1">
        <v>5.67167404713069</v>
      </c>
      <c r="I168" s="1">
        <v>5.6746836397268</v>
      </c>
      <c r="J168" s="1">
        <v>5.62537932470082</v>
      </c>
      <c r="K168" s="1">
        <v>5.74149452823933</v>
      </c>
      <c r="L168" s="1">
        <v>0.0400694</v>
      </c>
      <c r="M168" s="1">
        <v>2.82908719614504</v>
      </c>
      <c r="N168" s="1">
        <v>2.0794415</v>
      </c>
      <c r="O168" s="1">
        <v>10.1775000734248</v>
      </c>
      <c r="P168" s="1">
        <v>289.520472517204</v>
      </c>
      <c r="Q168" s="1">
        <v>290.396137846369</v>
      </c>
      <c r="R168" s="1">
        <v>276.377480708212</v>
      </c>
      <c r="S168" s="1">
        <v>310.529653058464</v>
      </c>
      <c r="T168" s="1">
        <v>65.0485</v>
      </c>
      <c r="U168" s="1">
        <v>15.93</v>
      </c>
      <c r="V168" s="1">
        <v>7</v>
      </c>
      <c r="W168" s="1">
        <v>26303.6254</v>
      </c>
      <c r="X168" s="1">
        <v>0.240880161863745</v>
      </c>
      <c r="Y168" s="1">
        <v>17.83</v>
      </c>
      <c r="Z168" s="1">
        <v>0.3634</v>
      </c>
      <c r="AA168" s="1">
        <v>5.20114970697841</v>
      </c>
      <c r="AB168" s="1">
        <f t="shared" si="6"/>
        <v>1.64887969864478</v>
      </c>
      <c r="AC168" s="1">
        <v>2.52384466662915</v>
      </c>
      <c r="AD168" s="1">
        <v>0.00442258064516129</v>
      </c>
      <c r="AE168" s="1">
        <v>0.963920163766633</v>
      </c>
      <c r="AF168" s="1">
        <v>64</v>
      </c>
      <c r="AG168" s="1">
        <v>0.482324</v>
      </c>
      <c r="AH168" s="2">
        <v>4.19039</v>
      </c>
      <c r="AI168" s="1">
        <v>164.181118755045</v>
      </c>
      <c r="AJ168" s="1">
        <v>0.17358513153563</v>
      </c>
      <c r="AK168" s="1">
        <v>0.129047747666637</v>
      </c>
      <c r="AL168" s="1">
        <v>0.127460279819777</v>
      </c>
      <c r="AM168" s="1">
        <v>0.140655218894684</v>
      </c>
      <c r="AN168" s="1">
        <v>0</v>
      </c>
      <c r="AO168" s="1">
        <v>0.04436838</v>
      </c>
      <c r="AP168" s="1">
        <v>0.0569807</v>
      </c>
      <c r="AQ168" s="1">
        <v>0.05377071</v>
      </c>
      <c r="AR168" s="1">
        <v>0.0406754</v>
      </c>
      <c r="AS168" s="1">
        <v>0.05608538</v>
      </c>
      <c r="AT168" s="1">
        <v>0.04850061</v>
      </c>
      <c r="AU168" s="1">
        <v>0.0602674</v>
      </c>
      <c r="AV168" s="1">
        <v>0.03488527</v>
      </c>
      <c r="AW168" s="1">
        <v>0.10672063</v>
      </c>
      <c r="AX168" s="1">
        <v>0.04289391</v>
      </c>
      <c r="AY168" s="1">
        <v>0.03882668</v>
      </c>
      <c r="AZ168" s="1">
        <v>916</v>
      </c>
      <c r="BA168" s="1">
        <v>24.5</v>
      </c>
      <c r="BB168" s="1">
        <f t="shared" si="7"/>
        <v>6.82001636467413</v>
      </c>
      <c r="BC168" s="1">
        <v>0.000327</v>
      </c>
      <c r="BD168" s="1">
        <v>284.09</v>
      </c>
      <c r="BE168" s="1">
        <v>1.41859412193298</v>
      </c>
      <c r="BF168" s="1">
        <v>418.134302</v>
      </c>
      <c r="BG168" s="1">
        <v>-0.616664</v>
      </c>
      <c r="BH168" s="1">
        <v>1273.9851</v>
      </c>
      <c r="BI168" s="1">
        <f t="shared" si="8"/>
        <v>7.14990514061631</v>
      </c>
      <c r="BJ168" s="1">
        <v>3.088633333</v>
      </c>
      <c r="BM168" s="1">
        <v>145682</v>
      </c>
      <c r="BN168" s="1">
        <v>3340000</v>
      </c>
      <c r="BO168" s="1">
        <v>0.0436</v>
      </c>
      <c r="BP168" s="1">
        <v>0.34508</v>
      </c>
      <c r="BQ168" s="1">
        <v>27.913468</v>
      </c>
      <c r="BR168" s="1">
        <v>13251.1</v>
      </c>
      <c r="BS168" s="3">
        <v>1100000</v>
      </c>
    </row>
    <row r="169" spans="1:71">
      <c r="A169" s="1" t="s">
        <v>84</v>
      </c>
      <c r="B169" s="1">
        <v>14</v>
      </c>
      <c r="C169" s="1">
        <v>114.958</v>
      </c>
      <c r="D169" s="1">
        <v>24.0445</v>
      </c>
      <c r="E169" s="1">
        <v>2022</v>
      </c>
      <c r="F169" s="1">
        <v>0.246418306808504</v>
      </c>
      <c r="G169" s="1">
        <v>7.23381125855199</v>
      </c>
      <c r="H169" s="1">
        <v>5.68980658733207</v>
      </c>
      <c r="I169" s="1">
        <v>5.7434213462024</v>
      </c>
      <c r="J169" s="1">
        <v>5.53765378958781</v>
      </c>
      <c r="K169" s="1">
        <v>5.76182326745567</v>
      </c>
      <c r="L169" s="1">
        <v>0.0400694</v>
      </c>
      <c r="M169" s="1">
        <v>0</v>
      </c>
      <c r="N169" s="1">
        <v>2.1972246</v>
      </c>
      <c r="O169" s="1">
        <v>10.7268732100198</v>
      </c>
      <c r="P169" s="1">
        <v>294.836396642261</v>
      </c>
      <c r="Q169" s="1">
        <v>311.130492651933</v>
      </c>
      <c r="R169" s="1">
        <v>253.081171694854</v>
      </c>
      <c r="S169" s="1">
        <v>316.927467604008</v>
      </c>
      <c r="T169" s="1">
        <v>54.943</v>
      </c>
      <c r="U169" s="1">
        <v>0</v>
      </c>
      <c r="V169" s="1">
        <v>8</v>
      </c>
      <c r="W169" s="1">
        <v>45563</v>
      </c>
      <c r="X169" s="1">
        <v>0.188325400956211</v>
      </c>
      <c r="Y169" s="1">
        <v>8.13</v>
      </c>
      <c r="Z169" s="1">
        <v>0.3624</v>
      </c>
      <c r="AA169" s="1">
        <v>5.20143126823744</v>
      </c>
      <c r="AB169" s="1">
        <f t="shared" si="6"/>
        <v>1.64893383160655</v>
      </c>
      <c r="AC169" s="1">
        <v>2.60668147315266</v>
      </c>
      <c r="AD169" s="1">
        <v>0.00478490566037736</v>
      </c>
      <c r="AE169" s="1">
        <v>0.817592413392684</v>
      </c>
      <c r="AF169" s="1">
        <v>0</v>
      </c>
      <c r="AG169" s="1">
        <v>0.468972</v>
      </c>
      <c r="AH169" s="2">
        <v>4.02433</v>
      </c>
      <c r="AI169" s="1">
        <v>164.181118755045</v>
      </c>
      <c r="AJ169" s="1">
        <v>0.17358513153563</v>
      </c>
      <c r="AK169" s="1">
        <v>0.129047747666637</v>
      </c>
      <c r="AL169" s="1">
        <v>0.127460279819777</v>
      </c>
      <c r="AM169" s="1">
        <v>0.140655218894684</v>
      </c>
      <c r="AN169" s="1">
        <v>0</v>
      </c>
      <c r="AO169" s="1">
        <v>0.04436838</v>
      </c>
      <c r="AP169" s="1">
        <v>0.0569807</v>
      </c>
      <c r="AQ169" s="1">
        <v>0.05377071</v>
      </c>
      <c r="AR169" s="1">
        <v>0.0406754</v>
      </c>
      <c r="AS169" s="1">
        <v>0.05608538</v>
      </c>
      <c r="AT169" s="1">
        <v>0.04850061</v>
      </c>
      <c r="AU169" s="1">
        <v>0.0602674</v>
      </c>
      <c r="AV169" s="1">
        <v>0.03488527</v>
      </c>
      <c r="AW169" s="1">
        <v>0.10672063</v>
      </c>
      <c r="AX169" s="1">
        <v>0.04289391</v>
      </c>
      <c r="AY169" s="1">
        <v>0.03882668</v>
      </c>
      <c r="AZ169" s="1">
        <v>877</v>
      </c>
      <c r="BA169" s="1">
        <v>17.752</v>
      </c>
      <c r="BB169" s="1">
        <f t="shared" si="7"/>
        <v>6.77650699237218</v>
      </c>
      <c r="BC169" s="1">
        <v>0.000296</v>
      </c>
      <c r="BD169" s="1">
        <v>284.17</v>
      </c>
      <c r="BE169" s="1">
        <v>1.41321538953426</v>
      </c>
      <c r="BF169" s="1">
        <v>15104.6063687</v>
      </c>
      <c r="BG169" s="1">
        <v>-1.115641</v>
      </c>
      <c r="BH169" s="1">
        <v>1294.57</v>
      </c>
      <c r="BI169" s="1">
        <f t="shared" si="8"/>
        <v>7.165933872662</v>
      </c>
      <c r="BJ169" s="1">
        <v>3.088633333</v>
      </c>
      <c r="BM169" s="1">
        <v>145682</v>
      </c>
      <c r="BN169" s="1">
        <v>3340000</v>
      </c>
      <c r="BO169" s="1">
        <v>0.0436</v>
      </c>
      <c r="BP169" s="1">
        <v>0.34508</v>
      </c>
      <c r="BQ169" s="1">
        <v>27.913468</v>
      </c>
      <c r="BR169" s="1">
        <v>13251.1</v>
      </c>
      <c r="BS169" s="3">
        <v>1100000</v>
      </c>
    </row>
    <row r="170" spans="1:71">
      <c r="A170" s="1" t="s">
        <v>85</v>
      </c>
      <c r="B170" s="1">
        <v>15</v>
      </c>
      <c r="C170" s="1">
        <v>111.772</v>
      </c>
      <c r="D170" s="1">
        <v>22.0394</v>
      </c>
      <c r="E170" s="1">
        <v>2011</v>
      </c>
      <c r="F170" s="1">
        <v>0.380502097203777</v>
      </c>
      <c r="G170" s="1">
        <v>6.81852356803802</v>
      </c>
      <c r="H170" s="1">
        <v>4.00296000042024</v>
      </c>
      <c r="I170" s="1">
        <v>3.9047969603364</v>
      </c>
      <c r="J170" s="1">
        <v>4.14567118938744</v>
      </c>
      <c r="K170" s="1">
        <v>4.03264644775188</v>
      </c>
      <c r="L170" s="1">
        <v>-0.203509</v>
      </c>
      <c r="M170" s="1">
        <v>0</v>
      </c>
      <c r="N170" s="1">
        <v>0</v>
      </c>
      <c r="O170" s="1">
        <v>10.3574570697039</v>
      </c>
      <c r="P170" s="1">
        <v>53.76</v>
      </c>
      <c r="Q170" s="1">
        <v>48.64</v>
      </c>
      <c r="R170" s="1">
        <v>62.16</v>
      </c>
      <c r="S170" s="1">
        <v>55.41</v>
      </c>
      <c r="T170" s="1">
        <v>27.53</v>
      </c>
      <c r="U170" s="1">
        <v>0</v>
      </c>
      <c r="V170" s="1">
        <v>0</v>
      </c>
      <c r="W170" s="1">
        <v>31490</v>
      </c>
      <c r="X170" s="1">
        <v>0.181095526229397</v>
      </c>
      <c r="Y170" s="1">
        <v>3.36</v>
      </c>
      <c r="Z170" s="1">
        <v>0.442099999986959</v>
      </c>
      <c r="AA170" s="1">
        <v>5.7279588394873</v>
      </c>
      <c r="AB170" s="1">
        <f t="shared" si="6"/>
        <v>1.74535924378883</v>
      </c>
      <c r="AC170" s="1">
        <v>1.29891835689567</v>
      </c>
      <c r="AD170" s="1">
        <v>0.00525509486999297</v>
      </c>
      <c r="AE170" s="4">
        <v>0.855635941253239</v>
      </c>
      <c r="AF170" s="1">
        <v>0</v>
      </c>
      <c r="AG170" s="1">
        <v>0.351416</v>
      </c>
      <c r="AH170" s="2">
        <v>3.35096</v>
      </c>
      <c r="AI170" s="1">
        <v>196.634329113456</v>
      </c>
      <c r="AJ170" s="1">
        <v>0.0423843100990252</v>
      </c>
      <c r="AK170" s="1">
        <v>0.0798995548453373</v>
      </c>
      <c r="AL170" s="1">
        <v>0.166572023471512</v>
      </c>
      <c r="AM170" s="1">
        <v>0.168079781869794</v>
      </c>
      <c r="AN170" s="1">
        <v>0</v>
      </c>
      <c r="AO170" s="1">
        <v>0.0314224</v>
      </c>
      <c r="AP170" s="1">
        <v>0.05160634</v>
      </c>
      <c r="AQ170" s="1">
        <v>0.03448948</v>
      </c>
      <c r="AR170" s="1">
        <v>0.02854252</v>
      </c>
      <c r="AS170" s="1">
        <v>0.05140464</v>
      </c>
      <c r="AT170" s="1">
        <v>0.03119322</v>
      </c>
      <c r="AU170" s="1">
        <v>0.05131333</v>
      </c>
      <c r="AV170" s="1">
        <v>0.05090374</v>
      </c>
      <c r="AW170" s="1">
        <v>0.03438702</v>
      </c>
      <c r="AX170" s="1">
        <v>0.10228668</v>
      </c>
      <c r="AY170" s="1">
        <v>0.05043871</v>
      </c>
      <c r="AZ170" s="1">
        <v>54</v>
      </c>
      <c r="BA170" s="1">
        <v>6</v>
      </c>
      <c r="BB170" s="1">
        <f t="shared" si="7"/>
        <v>3.98898404656427</v>
      </c>
      <c r="BC170" s="1">
        <v>0</v>
      </c>
      <c r="BD170" s="1">
        <v>284.6</v>
      </c>
      <c r="BE170" s="1">
        <v>0.789180278778076</v>
      </c>
      <c r="BF170" s="1">
        <v>-1236.517007</v>
      </c>
      <c r="BG170" s="1">
        <v>1.326183</v>
      </c>
      <c r="BH170" s="1">
        <v>728.683337</v>
      </c>
      <c r="BI170" s="1">
        <f t="shared" si="8"/>
        <v>6.59123925766578</v>
      </c>
      <c r="BJ170" s="1">
        <v>4.840708333</v>
      </c>
      <c r="BM170" s="1">
        <v>168954</v>
      </c>
      <c r="BN170" s="1">
        <v>2320000</v>
      </c>
      <c r="BO170" s="1">
        <v>0.0728</v>
      </c>
      <c r="BP170" s="1">
        <v>0.42975</v>
      </c>
      <c r="BQ170" s="1">
        <v>19.58561</v>
      </c>
      <c r="BR170" s="1">
        <v>16502.4</v>
      </c>
      <c r="BS170" s="1">
        <v>752087</v>
      </c>
    </row>
    <row r="171" spans="1:71">
      <c r="A171" s="1" t="s">
        <v>85</v>
      </c>
      <c r="B171" s="1">
        <v>15</v>
      </c>
      <c r="C171" s="1">
        <v>111.772</v>
      </c>
      <c r="D171" s="1">
        <v>22.0394</v>
      </c>
      <c r="E171" s="1">
        <v>2012</v>
      </c>
      <c r="F171" s="1">
        <v>0.43995299371606</v>
      </c>
      <c r="G171" s="1">
        <v>6.83875069946236</v>
      </c>
      <c r="H171" s="1">
        <v>4.58343569384208</v>
      </c>
      <c r="I171" s="1">
        <v>4.46510319709097</v>
      </c>
      <c r="J171" s="1">
        <v>4.67273537215051</v>
      </c>
      <c r="K171" s="1">
        <v>4.76473475565943</v>
      </c>
      <c r="L171" s="1">
        <v>-0.203509</v>
      </c>
      <c r="M171" s="1">
        <v>0</v>
      </c>
      <c r="N171" s="1">
        <v>0.6931472</v>
      </c>
      <c r="O171" s="1">
        <v>10.4939650383746</v>
      </c>
      <c r="P171" s="1">
        <v>96.85</v>
      </c>
      <c r="Q171" s="1">
        <v>85.93</v>
      </c>
      <c r="R171" s="1">
        <v>105.99</v>
      </c>
      <c r="S171" s="1">
        <v>116.3</v>
      </c>
      <c r="T171" s="1">
        <v>35.79</v>
      </c>
      <c r="U171" s="1">
        <v>0</v>
      </c>
      <c r="V171" s="1">
        <v>1</v>
      </c>
      <c r="W171" s="1">
        <v>36096</v>
      </c>
      <c r="X171" s="1">
        <v>0.158210604173548</v>
      </c>
      <c r="Y171" s="1">
        <v>8.67</v>
      </c>
      <c r="Z171" s="1">
        <v>0.461</v>
      </c>
      <c r="AA171" s="1">
        <v>5.7380470686303</v>
      </c>
      <c r="AB171" s="1">
        <f t="shared" si="6"/>
        <v>1.74711892049351</v>
      </c>
      <c r="AC171" s="1">
        <v>1.30278343646741</v>
      </c>
      <c r="AD171" s="1">
        <v>0.00253345132743363</v>
      </c>
      <c r="AE171" s="1">
        <v>0.866263274882687</v>
      </c>
      <c r="AF171" s="1">
        <v>0</v>
      </c>
      <c r="AG171" s="1">
        <v>0.34432</v>
      </c>
      <c r="AH171" s="2">
        <v>3.60523</v>
      </c>
      <c r="AI171" s="1">
        <v>196.634329113456</v>
      </c>
      <c r="AJ171" s="1">
        <v>0.0423843100990252</v>
      </c>
      <c r="AK171" s="1">
        <v>0.0798995548453373</v>
      </c>
      <c r="AL171" s="1">
        <v>0.166572023471512</v>
      </c>
      <c r="AM171" s="1">
        <v>0.168079781869794</v>
      </c>
      <c r="AN171" s="1">
        <v>0</v>
      </c>
      <c r="AO171" s="1">
        <v>0.0314224</v>
      </c>
      <c r="AP171" s="1">
        <v>0.05160634</v>
      </c>
      <c r="AQ171" s="1">
        <v>0.03448948</v>
      </c>
      <c r="AR171" s="1">
        <v>0.02854252</v>
      </c>
      <c r="AS171" s="1">
        <v>0.05140464</v>
      </c>
      <c r="AT171" s="1">
        <v>0.03119322</v>
      </c>
      <c r="AU171" s="1">
        <v>0.05131333</v>
      </c>
      <c r="AV171" s="1">
        <v>0.05090374</v>
      </c>
      <c r="AW171" s="1">
        <v>0.03438702</v>
      </c>
      <c r="AX171" s="1">
        <v>0.10228668</v>
      </c>
      <c r="AY171" s="1">
        <v>0.05043871</v>
      </c>
      <c r="AZ171" s="1">
        <v>66</v>
      </c>
      <c r="BA171" s="1">
        <v>7.157</v>
      </c>
      <c r="BB171" s="1">
        <f t="shared" si="7"/>
        <v>4.18965474202643</v>
      </c>
      <c r="BC171" s="1">
        <v>0</v>
      </c>
      <c r="BD171" s="1">
        <v>282.5</v>
      </c>
      <c r="BE171" s="1">
        <v>0.738824248313904</v>
      </c>
      <c r="BF171" s="1">
        <v>-2290.00365</v>
      </c>
      <c r="BG171" s="1">
        <v>1.737452</v>
      </c>
      <c r="BH171" s="1">
        <v>831.809543</v>
      </c>
      <c r="BI171" s="1">
        <f t="shared" si="8"/>
        <v>6.72360349995279</v>
      </c>
      <c r="BJ171" s="1">
        <v>4.840708333</v>
      </c>
      <c r="BM171" s="1">
        <v>168954</v>
      </c>
      <c r="BN171" s="1">
        <v>2320000</v>
      </c>
      <c r="BO171" s="1">
        <v>0.0728</v>
      </c>
      <c r="BP171" s="1">
        <v>0.42975</v>
      </c>
      <c r="BQ171" s="1">
        <v>19.58561</v>
      </c>
      <c r="BR171" s="1">
        <v>16502.4</v>
      </c>
      <c r="BS171" s="1">
        <v>752087</v>
      </c>
    </row>
    <row r="172" spans="1:71">
      <c r="A172" s="1" t="s">
        <v>85</v>
      </c>
      <c r="B172" s="1">
        <v>15</v>
      </c>
      <c r="C172" s="1">
        <v>111.772</v>
      </c>
      <c r="D172" s="1">
        <v>22.0394</v>
      </c>
      <c r="E172" s="1">
        <v>2013</v>
      </c>
      <c r="F172" s="1">
        <v>0.413272108332144</v>
      </c>
      <c r="G172" s="1">
        <v>6.83082560149816</v>
      </c>
      <c r="H172" s="1">
        <v>4.90193587717291</v>
      </c>
      <c r="I172" s="1">
        <v>4.77465976396666</v>
      </c>
      <c r="J172" s="1">
        <v>4.9974149559254</v>
      </c>
      <c r="K172" s="1">
        <v>5.09454742894821</v>
      </c>
      <c r="L172" s="1">
        <v>-0.203509</v>
      </c>
      <c r="M172" s="1">
        <v>0</v>
      </c>
      <c r="N172" s="1">
        <v>0</v>
      </c>
      <c r="O172" s="1">
        <v>10.6458533768835</v>
      </c>
      <c r="P172" s="1">
        <v>133.55</v>
      </c>
      <c r="Q172" s="1">
        <v>117.47</v>
      </c>
      <c r="R172" s="1">
        <v>147.03</v>
      </c>
      <c r="S172" s="1">
        <v>162.13</v>
      </c>
      <c r="T172" s="1">
        <v>65.91</v>
      </c>
      <c r="U172" s="1">
        <v>0</v>
      </c>
      <c r="V172" s="1">
        <v>0</v>
      </c>
      <c r="W172" s="1">
        <v>42017</v>
      </c>
      <c r="X172" s="1">
        <v>0.141779914336508</v>
      </c>
      <c r="Y172" s="1">
        <v>5.43</v>
      </c>
      <c r="Z172" s="1">
        <v>0.494099999980766</v>
      </c>
      <c r="AA172" s="1">
        <v>5.74192617483604</v>
      </c>
      <c r="AB172" s="1">
        <f t="shared" si="6"/>
        <v>1.7477947245692</v>
      </c>
      <c r="AC172" s="1">
        <v>1.2865519588566</v>
      </c>
      <c r="AD172" s="1">
        <v>0.00281760785689232</v>
      </c>
      <c r="AE172" s="1">
        <v>0.876890608512135</v>
      </c>
      <c r="AF172" s="1">
        <v>0</v>
      </c>
      <c r="AG172" s="1">
        <v>0.365838</v>
      </c>
      <c r="AH172" s="2">
        <v>4.20335</v>
      </c>
      <c r="AI172" s="1">
        <v>196.634329113456</v>
      </c>
      <c r="AJ172" s="1">
        <v>0.0423843100990252</v>
      </c>
      <c r="AK172" s="1">
        <v>0.0798995548453373</v>
      </c>
      <c r="AL172" s="1">
        <v>0.166572023471512</v>
      </c>
      <c r="AM172" s="1">
        <v>0.168079781869794</v>
      </c>
      <c r="AN172" s="1">
        <v>0</v>
      </c>
      <c r="AO172" s="1">
        <v>0.0314224</v>
      </c>
      <c r="AP172" s="1">
        <v>0.05160634</v>
      </c>
      <c r="AQ172" s="1">
        <v>0.03448948</v>
      </c>
      <c r="AR172" s="1">
        <v>0.02854252</v>
      </c>
      <c r="AS172" s="1">
        <v>0.05140464</v>
      </c>
      <c r="AT172" s="1">
        <v>0.03119322</v>
      </c>
      <c r="AU172" s="1">
        <v>0.05131333</v>
      </c>
      <c r="AV172" s="1">
        <v>0.05090374</v>
      </c>
      <c r="AW172" s="1">
        <v>0.03438702</v>
      </c>
      <c r="AX172" s="1">
        <v>0.10228668</v>
      </c>
      <c r="AY172" s="1">
        <v>0.05043871</v>
      </c>
      <c r="AZ172" s="1">
        <v>78</v>
      </c>
      <c r="BA172" s="1">
        <v>8.033</v>
      </c>
      <c r="BB172" s="1">
        <f t="shared" si="7"/>
        <v>4.35670882668959</v>
      </c>
      <c r="BC172" s="1">
        <v>0</v>
      </c>
      <c r="BD172" s="1">
        <v>285.1</v>
      </c>
      <c r="BE172" s="1">
        <v>0.648448765277863</v>
      </c>
      <c r="BF172" s="1">
        <v>-1355.879533</v>
      </c>
      <c r="BG172" s="1">
        <v>1.015349</v>
      </c>
      <c r="BH172" s="1">
        <v>971.171506</v>
      </c>
      <c r="BI172" s="1">
        <f t="shared" si="8"/>
        <v>6.87850308091273</v>
      </c>
      <c r="BJ172" s="1">
        <v>4.840708333</v>
      </c>
      <c r="BM172" s="1">
        <v>168954</v>
      </c>
      <c r="BN172" s="1">
        <v>2320000</v>
      </c>
      <c r="BO172" s="1">
        <v>0.0728</v>
      </c>
      <c r="BP172" s="1">
        <v>0.42975</v>
      </c>
      <c r="BQ172" s="1">
        <v>19.58561</v>
      </c>
      <c r="BR172" s="1">
        <v>16502.4</v>
      </c>
      <c r="BS172" s="1">
        <v>752087</v>
      </c>
    </row>
    <row r="173" spans="1:71">
      <c r="A173" s="1" t="s">
        <v>85</v>
      </c>
      <c r="B173" s="1">
        <v>15</v>
      </c>
      <c r="C173" s="1">
        <v>111.772</v>
      </c>
      <c r="D173" s="1">
        <v>22.0394</v>
      </c>
      <c r="E173" s="1">
        <v>2014</v>
      </c>
      <c r="F173" s="1">
        <v>0.422127910511149</v>
      </c>
      <c r="G173" s="1">
        <v>6.77727432184487</v>
      </c>
      <c r="H173" s="1">
        <v>4.96598654242737</v>
      </c>
      <c r="I173" s="1">
        <v>5.01966110530356</v>
      </c>
      <c r="J173" s="1">
        <v>4.82567024635688</v>
      </c>
      <c r="K173" s="1">
        <v>5.02025553747324</v>
      </c>
      <c r="L173" s="1">
        <v>-0.203509</v>
      </c>
      <c r="M173" s="1">
        <v>0</v>
      </c>
      <c r="N173" s="1">
        <v>0</v>
      </c>
      <c r="O173" s="1">
        <v>10.756604165386</v>
      </c>
      <c r="P173" s="1">
        <v>142.45</v>
      </c>
      <c r="Q173" s="1">
        <v>150.36</v>
      </c>
      <c r="R173" s="1">
        <v>123.67</v>
      </c>
      <c r="S173" s="1">
        <v>150.45</v>
      </c>
      <c r="T173" s="1">
        <v>93.47</v>
      </c>
      <c r="U173" s="1">
        <v>0</v>
      </c>
      <c r="V173" s="1">
        <v>0</v>
      </c>
      <c r="W173" s="1">
        <v>46938</v>
      </c>
      <c r="X173" s="1">
        <v>0.141260645359275</v>
      </c>
      <c r="Y173" s="1">
        <v>6.6</v>
      </c>
      <c r="Z173" s="1">
        <v>0.480299999974327</v>
      </c>
      <c r="AA173" s="1">
        <v>5.7499196298619</v>
      </c>
      <c r="AB173" s="1">
        <f t="shared" si="6"/>
        <v>1.74918587729625</v>
      </c>
      <c r="AC173" s="1">
        <v>1.37084475098222</v>
      </c>
      <c r="AD173" s="1">
        <v>0.00309467864547339</v>
      </c>
      <c r="AE173" s="1">
        <v>0.849518029275259</v>
      </c>
      <c r="AF173" s="1">
        <v>0</v>
      </c>
      <c r="AG173" s="1">
        <v>0.356864</v>
      </c>
      <c r="AH173" s="2">
        <v>4.54828</v>
      </c>
      <c r="AI173" s="1">
        <v>196.634329113456</v>
      </c>
      <c r="AJ173" s="1">
        <v>0.0423843100990252</v>
      </c>
      <c r="AK173" s="1">
        <v>0.0798995548453373</v>
      </c>
      <c r="AL173" s="1">
        <v>0.166572023471512</v>
      </c>
      <c r="AM173" s="1">
        <v>0.168079781869794</v>
      </c>
      <c r="AN173" s="1">
        <v>0</v>
      </c>
      <c r="AO173" s="1">
        <v>0.0314224</v>
      </c>
      <c r="AP173" s="1">
        <v>0.05160634</v>
      </c>
      <c r="AQ173" s="1">
        <v>0.03448948</v>
      </c>
      <c r="AR173" s="1">
        <v>0.02854252</v>
      </c>
      <c r="AS173" s="1">
        <v>0.05140464</v>
      </c>
      <c r="AT173" s="1">
        <v>0.03119322</v>
      </c>
      <c r="AU173" s="1">
        <v>0.05131333</v>
      </c>
      <c r="AV173" s="1">
        <v>0.05090374</v>
      </c>
      <c r="AW173" s="1">
        <v>0.03438702</v>
      </c>
      <c r="AX173" s="1">
        <v>0.10228668</v>
      </c>
      <c r="AY173" s="1">
        <v>0.05043871</v>
      </c>
      <c r="AZ173" s="1">
        <v>95</v>
      </c>
      <c r="BA173" s="1">
        <v>8.956</v>
      </c>
      <c r="BB173" s="1">
        <f t="shared" si="7"/>
        <v>4.55387689160054</v>
      </c>
      <c r="BC173" s="1">
        <v>0</v>
      </c>
      <c r="BD173" s="1">
        <v>250.66</v>
      </c>
      <c r="BE173" s="1">
        <v>0.738084614276886</v>
      </c>
      <c r="BF173" s="1">
        <v>-761.909376</v>
      </c>
      <c r="BG173" s="1">
        <v>3.615929</v>
      </c>
      <c r="BH173" s="1">
        <v>1066.81695</v>
      </c>
      <c r="BI173" s="1">
        <f t="shared" si="8"/>
        <v>6.97243468082056</v>
      </c>
      <c r="BJ173" s="1">
        <v>4.840708333</v>
      </c>
      <c r="BM173" s="1">
        <v>168954</v>
      </c>
      <c r="BN173" s="1">
        <v>2320000</v>
      </c>
      <c r="BO173" s="1">
        <v>0.0728</v>
      </c>
      <c r="BP173" s="1">
        <v>0.42975</v>
      </c>
      <c r="BQ173" s="1">
        <v>19.58561</v>
      </c>
      <c r="BR173" s="1">
        <v>16502.4</v>
      </c>
      <c r="BS173" s="1">
        <v>752087</v>
      </c>
    </row>
    <row r="174" spans="1:71">
      <c r="A174" s="1" t="s">
        <v>85</v>
      </c>
      <c r="B174" s="1">
        <v>15</v>
      </c>
      <c r="C174" s="1">
        <v>111.772</v>
      </c>
      <c r="D174" s="1">
        <v>22.0394</v>
      </c>
      <c r="E174" s="1">
        <v>2015</v>
      </c>
      <c r="F174" s="1">
        <v>0.39747114328182</v>
      </c>
      <c r="G174" s="1">
        <v>6.75201207374249</v>
      </c>
      <c r="H174" s="1">
        <v>5.16763904290592</v>
      </c>
      <c r="I174" s="1">
        <v>5.13385537405484</v>
      </c>
      <c r="J174" s="1">
        <v>5.01847117986403</v>
      </c>
      <c r="K174" s="1">
        <v>5.47629617390785</v>
      </c>
      <c r="L174" s="1">
        <v>-0.203509</v>
      </c>
      <c r="M174" s="1">
        <v>0</v>
      </c>
      <c r="N174" s="1">
        <v>1.3862944</v>
      </c>
      <c r="O174" s="1">
        <v>10.8176760763184</v>
      </c>
      <c r="P174" s="1">
        <v>174.5</v>
      </c>
      <c r="Q174" s="1">
        <v>168.67</v>
      </c>
      <c r="R174" s="1">
        <v>150.18</v>
      </c>
      <c r="S174" s="1">
        <v>237.96</v>
      </c>
      <c r="T174" s="1">
        <v>90.25</v>
      </c>
      <c r="U174" s="1">
        <v>0</v>
      </c>
      <c r="V174" s="1">
        <v>3</v>
      </c>
      <c r="W174" s="1">
        <v>49894</v>
      </c>
      <c r="X174" s="1">
        <v>0.142799120357419</v>
      </c>
      <c r="Y174" s="1">
        <v>8.34</v>
      </c>
      <c r="Z174" s="1">
        <v>0.451299999992</v>
      </c>
      <c r="AA174" s="1">
        <v>5.75832588641167</v>
      </c>
      <c r="AB174" s="1">
        <f t="shared" si="6"/>
        <v>1.75064678774224</v>
      </c>
      <c r="AC174" s="1">
        <v>1.40887772131324</v>
      </c>
      <c r="AD174" s="1">
        <v>0.00332158017253184</v>
      </c>
      <c r="AE174" s="1">
        <v>0.702648401826484</v>
      </c>
      <c r="AF174" s="1">
        <v>0</v>
      </c>
      <c r="AG174" s="1">
        <v>0.36841</v>
      </c>
      <c r="AH174" s="2">
        <v>4.5136</v>
      </c>
      <c r="AI174" s="1">
        <v>196.634329113456</v>
      </c>
      <c r="AJ174" s="1">
        <v>0.0423843100990252</v>
      </c>
      <c r="AK174" s="1">
        <v>0.0798995548453373</v>
      </c>
      <c r="AL174" s="1">
        <v>0.166572023471512</v>
      </c>
      <c r="AM174" s="1">
        <v>0.168079781869794</v>
      </c>
      <c r="AN174" s="1">
        <v>0</v>
      </c>
      <c r="AO174" s="1">
        <v>0.0314224</v>
      </c>
      <c r="AP174" s="1">
        <v>0.05160634</v>
      </c>
      <c r="AQ174" s="1">
        <v>0.03448948</v>
      </c>
      <c r="AR174" s="1">
        <v>0.02854252</v>
      </c>
      <c r="AS174" s="1">
        <v>0.05140464</v>
      </c>
      <c r="AT174" s="1">
        <v>0.03119322</v>
      </c>
      <c r="AU174" s="1">
        <v>0.05131333</v>
      </c>
      <c r="AV174" s="1">
        <v>0.05090374</v>
      </c>
      <c r="AW174" s="1">
        <v>0.03438702</v>
      </c>
      <c r="AX174" s="1">
        <v>0.10228668</v>
      </c>
      <c r="AY174" s="1">
        <v>0.05043871</v>
      </c>
      <c r="AZ174" s="1">
        <v>107</v>
      </c>
      <c r="BA174" s="1">
        <v>9.703</v>
      </c>
      <c r="BB174" s="1">
        <f t="shared" si="7"/>
        <v>4.67282883446191</v>
      </c>
      <c r="BC174" s="1">
        <v>0.000209</v>
      </c>
      <c r="BD174" s="1">
        <v>252.06</v>
      </c>
      <c r="BE174" s="1">
        <v>0.824250280857086</v>
      </c>
      <c r="BF174" s="1">
        <v>-698.476736</v>
      </c>
      <c r="BG174" s="1">
        <v>2.647425</v>
      </c>
      <c r="BH174" s="1">
        <v>1108.11651</v>
      </c>
      <c r="BI174" s="1">
        <f t="shared" si="8"/>
        <v>7.0104170152086</v>
      </c>
      <c r="BJ174" s="1">
        <v>4.840708333</v>
      </c>
      <c r="BM174" s="1">
        <v>168954</v>
      </c>
      <c r="BN174" s="1">
        <v>2320000</v>
      </c>
      <c r="BO174" s="1">
        <v>0.0728</v>
      </c>
      <c r="BP174" s="1">
        <v>0.42975</v>
      </c>
      <c r="BQ174" s="1">
        <v>19.58561</v>
      </c>
      <c r="BR174" s="1">
        <v>16502.4</v>
      </c>
      <c r="BS174" s="1">
        <v>752087</v>
      </c>
    </row>
    <row r="175" spans="1:71">
      <c r="A175" s="1" t="s">
        <v>85</v>
      </c>
      <c r="B175" s="1">
        <v>15</v>
      </c>
      <c r="C175" s="1">
        <v>111.772</v>
      </c>
      <c r="D175" s="1">
        <v>22.0394</v>
      </c>
      <c r="E175" s="1">
        <v>2016</v>
      </c>
      <c r="F175" s="1">
        <v>0.406337374990049</v>
      </c>
      <c r="G175" s="1">
        <v>6.71351325484959</v>
      </c>
      <c r="H175" s="1">
        <v>5.26603470014948</v>
      </c>
      <c r="I175" s="1">
        <v>5.17623372113708</v>
      </c>
      <c r="J175" s="1">
        <v>5.30955659166753</v>
      </c>
      <c r="K175" s="1">
        <v>5.45070811360173</v>
      </c>
      <c r="L175" s="1">
        <v>-0.203509</v>
      </c>
      <c r="M175" s="1">
        <v>5.62293388679288</v>
      </c>
      <c r="N175" s="1">
        <v>1.0986123</v>
      </c>
      <c r="O175" s="1">
        <v>10.8283811732175</v>
      </c>
      <c r="P175" s="1">
        <v>192.646571297577</v>
      </c>
      <c r="Q175" s="1">
        <v>176.014866612734</v>
      </c>
      <c r="R175" s="1">
        <v>201.260524512277</v>
      </c>
      <c r="S175" s="1">
        <v>231.923043480076</v>
      </c>
      <c r="T175" s="1">
        <v>91.06</v>
      </c>
      <c r="U175" s="1">
        <v>275.7</v>
      </c>
      <c r="V175" s="1">
        <v>2</v>
      </c>
      <c r="W175" s="1">
        <v>50431</v>
      </c>
      <c r="X175" s="1">
        <v>0.108832817997218</v>
      </c>
      <c r="Y175" s="1">
        <v>5.24</v>
      </c>
      <c r="Z175" s="1">
        <v>0.409900000031477</v>
      </c>
      <c r="AA175" s="1">
        <v>5.76607173607849</v>
      </c>
      <c r="AB175" s="1">
        <f t="shared" si="6"/>
        <v>1.75199104035951</v>
      </c>
      <c r="AC175" s="1">
        <v>1.53289285027406</v>
      </c>
      <c r="AD175" s="1">
        <v>0.00333918918918919</v>
      </c>
      <c r="AE175" s="1">
        <v>1.27938011192424</v>
      </c>
      <c r="AF175" s="1">
        <v>8</v>
      </c>
      <c r="AG175" s="1">
        <v>0.429192</v>
      </c>
      <c r="AH175" s="2">
        <v>4.52244</v>
      </c>
      <c r="AI175" s="1">
        <v>196.634329113456</v>
      </c>
      <c r="AJ175" s="1">
        <v>0.0423843100990252</v>
      </c>
      <c r="AK175" s="1">
        <v>0.0798995548453373</v>
      </c>
      <c r="AL175" s="1">
        <v>0.166572023471512</v>
      </c>
      <c r="AM175" s="1">
        <v>0.168079781869794</v>
      </c>
      <c r="AN175" s="1">
        <v>0</v>
      </c>
      <c r="AO175" s="1">
        <v>0.0314224</v>
      </c>
      <c r="AP175" s="1">
        <v>0.05160634</v>
      </c>
      <c r="AQ175" s="1">
        <v>0.03448948</v>
      </c>
      <c r="AR175" s="1">
        <v>0.02854252</v>
      </c>
      <c r="AS175" s="1">
        <v>0.05140464</v>
      </c>
      <c r="AT175" s="1">
        <v>0.03119322</v>
      </c>
      <c r="AU175" s="1">
        <v>0.05131333</v>
      </c>
      <c r="AV175" s="1">
        <v>0.05090374</v>
      </c>
      <c r="AW175" s="1">
        <v>0.03438702</v>
      </c>
      <c r="AX175" s="1">
        <v>0.10228668</v>
      </c>
      <c r="AY175" s="1">
        <v>0.05043871</v>
      </c>
      <c r="AZ175" s="1">
        <v>161</v>
      </c>
      <c r="BA175" s="1">
        <v>9.884</v>
      </c>
      <c r="BB175" s="1">
        <f t="shared" si="7"/>
        <v>5.08140436498446</v>
      </c>
      <c r="BC175" s="1">
        <v>0.000655</v>
      </c>
      <c r="BD175" s="1">
        <v>254.02</v>
      </c>
      <c r="BE175" s="1">
        <v>1.01981937885284</v>
      </c>
      <c r="BF175" s="1">
        <v>-817.47423</v>
      </c>
      <c r="BG175" s="1">
        <v>2.4</v>
      </c>
      <c r="BH175" s="1">
        <v>1117.026948</v>
      </c>
      <c r="BI175" s="1">
        <f t="shared" si="8"/>
        <v>7.01842592411391</v>
      </c>
      <c r="BJ175" s="1">
        <v>4.840708333</v>
      </c>
      <c r="BM175" s="1">
        <v>168954</v>
      </c>
      <c r="BN175" s="1">
        <v>2320000</v>
      </c>
      <c r="BO175" s="1">
        <v>0.0728</v>
      </c>
      <c r="BP175" s="1">
        <v>0.42975</v>
      </c>
      <c r="BQ175" s="1">
        <v>19.58561</v>
      </c>
      <c r="BR175" s="1">
        <v>16502.4</v>
      </c>
      <c r="BS175" s="1">
        <v>752087</v>
      </c>
    </row>
    <row r="176" spans="1:71">
      <c r="A176" s="1" t="s">
        <v>85</v>
      </c>
      <c r="B176" s="1">
        <v>15</v>
      </c>
      <c r="C176" s="1">
        <v>111.772</v>
      </c>
      <c r="D176" s="1">
        <v>22.0394</v>
      </c>
      <c r="E176" s="1">
        <v>2017</v>
      </c>
      <c r="F176" s="1">
        <v>0.372563286559134</v>
      </c>
      <c r="G176" s="1">
        <v>6.80339854425651</v>
      </c>
      <c r="H176" s="1">
        <v>5.40270774087089</v>
      </c>
      <c r="I176" s="1">
        <v>5.28552030735593</v>
      </c>
      <c r="J176" s="1">
        <v>5.5239086189962</v>
      </c>
      <c r="K176" s="1">
        <v>5.52585888779917</v>
      </c>
      <c r="L176" s="1">
        <v>-0.203509</v>
      </c>
      <c r="M176" s="1">
        <v>0</v>
      </c>
      <c r="N176" s="1">
        <v>1.3862944</v>
      </c>
      <c r="O176" s="1">
        <v>10.853619167579</v>
      </c>
      <c r="P176" s="1">
        <v>221.006739781804</v>
      </c>
      <c r="Q176" s="1">
        <v>196.45689500391</v>
      </c>
      <c r="R176" s="1">
        <v>249.612674846642</v>
      </c>
      <c r="S176" s="1">
        <v>250.101913757709</v>
      </c>
      <c r="T176" s="1">
        <v>99</v>
      </c>
      <c r="U176" s="1">
        <v>0</v>
      </c>
      <c r="V176" s="1">
        <v>3</v>
      </c>
      <c r="W176" s="1">
        <v>51720</v>
      </c>
      <c r="X176" s="1">
        <v>0.108658371826356</v>
      </c>
      <c r="Y176" s="1">
        <v>12.51</v>
      </c>
      <c r="Z176" s="4">
        <v>0.375</v>
      </c>
      <c r="AA176" s="1">
        <v>5.77278093240765</v>
      </c>
      <c r="AB176" s="1">
        <f t="shared" si="6"/>
        <v>1.75315392843478</v>
      </c>
      <c r="AC176" s="1">
        <v>1.64658540494649</v>
      </c>
      <c r="AD176" s="1">
        <v>0.0035006734006734</v>
      </c>
      <c r="AE176" s="1">
        <v>0.709941829719725</v>
      </c>
      <c r="AF176" s="1">
        <v>0</v>
      </c>
      <c r="AG176" s="1">
        <v>0.422466</v>
      </c>
      <c r="AH176" s="2">
        <v>4.60517</v>
      </c>
      <c r="AI176" s="1">
        <v>196.634329113456</v>
      </c>
      <c r="AJ176" s="1">
        <v>0.0423843100990252</v>
      </c>
      <c r="AK176" s="1">
        <v>0.0798995548453373</v>
      </c>
      <c r="AL176" s="1">
        <v>0.166572023471512</v>
      </c>
      <c r="AM176" s="1">
        <v>0.168079781869794</v>
      </c>
      <c r="AN176" s="1">
        <v>0</v>
      </c>
      <c r="AO176" s="1">
        <v>0.0314224</v>
      </c>
      <c r="AP176" s="1">
        <v>0.05160634</v>
      </c>
      <c r="AQ176" s="1">
        <v>0.03448948</v>
      </c>
      <c r="AR176" s="1">
        <v>0.02854252</v>
      </c>
      <c r="AS176" s="1">
        <v>0.05140464</v>
      </c>
      <c r="AT176" s="1">
        <v>0.03119322</v>
      </c>
      <c r="AU176" s="1">
        <v>0.05131333</v>
      </c>
      <c r="AV176" s="1">
        <v>0.05090374</v>
      </c>
      <c r="AW176" s="1">
        <v>0.03438702</v>
      </c>
      <c r="AX176" s="1">
        <v>0.10228668</v>
      </c>
      <c r="AY176" s="1">
        <v>0.05043871</v>
      </c>
      <c r="AZ176" s="1">
        <v>234</v>
      </c>
      <c r="BA176" s="1">
        <v>10.397</v>
      </c>
      <c r="BB176" s="1">
        <f t="shared" si="7"/>
        <v>5.4553211153577</v>
      </c>
      <c r="BC176" s="1">
        <v>0.000745</v>
      </c>
      <c r="BD176" s="1">
        <v>255.73</v>
      </c>
      <c r="BE176" s="1">
        <v>1.26307237148285</v>
      </c>
      <c r="BF176" s="1">
        <v>-1654.2923</v>
      </c>
      <c r="BG176" s="1">
        <v>2.209383</v>
      </c>
      <c r="BH176" s="1">
        <v>1142.243628</v>
      </c>
      <c r="BI176" s="1">
        <f t="shared" si="8"/>
        <v>7.04074970196426</v>
      </c>
      <c r="BJ176" s="1">
        <v>4.840708333</v>
      </c>
      <c r="BM176" s="1">
        <v>168954</v>
      </c>
      <c r="BN176" s="1">
        <v>2320000</v>
      </c>
      <c r="BO176" s="1">
        <v>0.0728</v>
      </c>
      <c r="BP176" s="1">
        <v>0.42975</v>
      </c>
      <c r="BQ176" s="1">
        <v>19.58561</v>
      </c>
      <c r="BR176" s="1">
        <v>16502.4</v>
      </c>
      <c r="BS176" s="1">
        <v>752087</v>
      </c>
    </row>
    <row r="177" spans="1:71">
      <c r="A177" s="1" t="s">
        <v>85</v>
      </c>
      <c r="B177" s="1">
        <v>15</v>
      </c>
      <c r="C177" s="1">
        <v>111.772</v>
      </c>
      <c r="D177" s="1">
        <v>22.0394</v>
      </c>
      <c r="E177" s="1">
        <v>2018</v>
      </c>
      <c r="F177" s="1">
        <v>0.399883265187443</v>
      </c>
      <c r="G177" s="1">
        <v>6.82655351679769</v>
      </c>
      <c r="H177" s="1">
        <v>5.46537970048487</v>
      </c>
      <c r="I177" s="1">
        <v>5.38183394441837</v>
      </c>
      <c r="J177" s="1">
        <v>5.50614129944878</v>
      </c>
      <c r="K177" s="1">
        <v>5.63859117090241</v>
      </c>
      <c r="L177" s="1">
        <v>-0.203509</v>
      </c>
      <c r="M177" s="1">
        <v>2.39789527279837</v>
      </c>
      <c r="N177" s="1">
        <v>1.609438</v>
      </c>
      <c r="O177" s="1">
        <v>10.8774809945385</v>
      </c>
      <c r="P177" s="1">
        <v>235.365586158455</v>
      </c>
      <c r="Q177" s="1">
        <v>216.420647388327</v>
      </c>
      <c r="R177" s="1">
        <v>245.199282528008</v>
      </c>
      <c r="S177" s="1">
        <v>280.066464825128</v>
      </c>
      <c r="T177" s="1">
        <v>101.8551</v>
      </c>
      <c r="U177" s="1">
        <v>10</v>
      </c>
      <c r="V177" s="1">
        <v>4</v>
      </c>
      <c r="W177" s="1">
        <v>52969</v>
      </c>
      <c r="X177" s="1">
        <v>0.102050269903709</v>
      </c>
      <c r="Y177" s="1">
        <v>10.4</v>
      </c>
      <c r="Z177" s="1">
        <v>0.343599999970377</v>
      </c>
      <c r="AA177" s="1">
        <v>5.77874597865289</v>
      </c>
      <c r="AB177" s="1">
        <f t="shared" si="6"/>
        <v>1.75418670043477</v>
      </c>
      <c r="AC177" s="1">
        <v>1.76674248354958</v>
      </c>
      <c r="AD177" s="1">
        <v>0.003573</v>
      </c>
      <c r="AE177" s="1">
        <v>0.954935330156569</v>
      </c>
      <c r="AF177" s="1">
        <v>6</v>
      </c>
      <c r="AG177" s="1">
        <v>0.413744</v>
      </c>
      <c r="AH177" s="2">
        <v>4.63332</v>
      </c>
      <c r="AI177" s="1">
        <v>196.634329113456</v>
      </c>
      <c r="AJ177" s="1">
        <v>0.0423843100990252</v>
      </c>
      <c r="AK177" s="1">
        <v>0.0798995548453373</v>
      </c>
      <c r="AL177" s="1">
        <v>0.166572023471512</v>
      </c>
      <c r="AM177" s="1">
        <v>0.168079781869794</v>
      </c>
      <c r="AN177" s="1">
        <v>0</v>
      </c>
      <c r="AO177" s="1">
        <v>0.0314224</v>
      </c>
      <c r="AP177" s="1">
        <v>0.05160634</v>
      </c>
      <c r="AQ177" s="1">
        <v>0.03448948</v>
      </c>
      <c r="AR177" s="1">
        <v>0.02854252</v>
      </c>
      <c r="AS177" s="1">
        <v>0.05140464</v>
      </c>
      <c r="AT177" s="1">
        <v>0.03119322</v>
      </c>
      <c r="AU177" s="1">
        <v>0.05131333</v>
      </c>
      <c r="AV177" s="1">
        <v>0.05090374</v>
      </c>
      <c r="AW177" s="1">
        <v>0.03438702</v>
      </c>
      <c r="AX177" s="1">
        <v>0.10228668</v>
      </c>
      <c r="AY177" s="1">
        <v>0.05043871</v>
      </c>
      <c r="AZ177" s="1">
        <v>286</v>
      </c>
      <c r="BA177" s="1">
        <v>10.719</v>
      </c>
      <c r="BB177" s="1">
        <f t="shared" si="7"/>
        <v>5.65599181081985</v>
      </c>
      <c r="BC177" s="1">
        <v>0</v>
      </c>
      <c r="BD177" s="1">
        <v>257.26</v>
      </c>
      <c r="BE177" s="1">
        <v>1.43433344364166</v>
      </c>
      <c r="BF177" s="1">
        <v>-2908.70356</v>
      </c>
      <c r="BG177" s="1">
        <v>1.216954</v>
      </c>
      <c r="BH177" s="1">
        <v>1167.7303</v>
      </c>
      <c r="BI177" s="1">
        <f t="shared" si="8"/>
        <v>7.06281722919068</v>
      </c>
      <c r="BJ177" s="1">
        <v>4.840708333</v>
      </c>
      <c r="BM177" s="1">
        <v>168954</v>
      </c>
      <c r="BN177" s="1">
        <v>2320000</v>
      </c>
      <c r="BO177" s="1">
        <v>0.0728</v>
      </c>
      <c r="BP177" s="1">
        <v>0.42975</v>
      </c>
      <c r="BQ177" s="1">
        <v>19.58561</v>
      </c>
      <c r="BR177" s="1">
        <v>16502.4</v>
      </c>
      <c r="BS177" s="1">
        <v>752087</v>
      </c>
    </row>
    <row r="178" spans="1:71">
      <c r="A178" s="1" t="s">
        <v>85</v>
      </c>
      <c r="B178" s="1">
        <v>15</v>
      </c>
      <c r="C178" s="1">
        <v>111.772</v>
      </c>
      <c r="D178" s="1">
        <v>22.0394</v>
      </c>
      <c r="E178" s="1">
        <v>2019</v>
      </c>
      <c r="F178" s="1">
        <v>0.368961248972526</v>
      </c>
      <c r="G178" s="1">
        <v>6.81263311287212</v>
      </c>
      <c r="H178" s="1">
        <v>5.51407400850297</v>
      </c>
      <c r="I178" s="1">
        <v>5.44602397803743</v>
      </c>
      <c r="J178" s="1">
        <v>5.54436751735837</v>
      </c>
      <c r="K178" s="1">
        <v>5.6636964557672</v>
      </c>
      <c r="L178" s="1">
        <v>-0.203509</v>
      </c>
      <c r="M178" s="1">
        <v>3.43398720448514</v>
      </c>
      <c r="N178" s="1">
        <v>0.6931472</v>
      </c>
      <c r="O178" s="1">
        <v>10.8280025085762</v>
      </c>
      <c r="P178" s="1">
        <v>247.16007667277</v>
      </c>
      <c r="Q178" s="1">
        <v>230.834551678138</v>
      </c>
      <c r="R178" s="1">
        <v>254.792742550609</v>
      </c>
      <c r="S178" s="1">
        <v>287.212039003188</v>
      </c>
      <c r="T178" s="1">
        <v>104.85</v>
      </c>
      <c r="U178" s="1">
        <v>30</v>
      </c>
      <c r="V178" s="1">
        <v>1</v>
      </c>
      <c r="W178" s="1">
        <v>50411.9068</v>
      </c>
      <c r="X178" s="1">
        <v>0.117457968483107</v>
      </c>
      <c r="Y178" s="1">
        <v>12.34</v>
      </c>
      <c r="Z178" s="1">
        <v>0.3453</v>
      </c>
      <c r="AA178" s="1">
        <v>5.78583422368856</v>
      </c>
      <c r="AB178" s="1">
        <f t="shared" si="6"/>
        <v>1.75541255486256</v>
      </c>
      <c r="AC178" s="1">
        <v>2.05548346395465</v>
      </c>
      <c r="AD178" s="1">
        <v>0.0036953488372093</v>
      </c>
      <c r="AE178" s="1">
        <v>0.914737128847725</v>
      </c>
      <c r="AF178" s="1">
        <v>2</v>
      </c>
      <c r="AG178" s="1">
        <v>0.43797</v>
      </c>
      <c r="AH178" s="2">
        <v>4.66202</v>
      </c>
      <c r="AI178" s="1">
        <v>196.634329113456</v>
      </c>
      <c r="AJ178" s="1">
        <v>0.0423843100990252</v>
      </c>
      <c r="AK178" s="1">
        <v>0.0798995548453373</v>
      </c>
      <c r="AL178" s="1">
        <v>0.166572023471512</v>
      </c>
      <c r="AM178" s="1">
        <v>0.168079781869794</v>
      </c>
      <c r="AN178" s="1">
        <v>0</v>
      </c>
      <c r="AO178" s="1">
        <v>0.0314224</v>
      </c>
      <c r="AP178" s="1">
        <v>0.05160634</v>
      </c>
      <c r="AQ178" s="1">
        <v>0.03448948</v>
      </c>
      <c r="AR178" s="1">
        <v>0.02854252</v>
      </c>
      <c r="AS178" s="1">
        <v>0.05140464</v>
      </c>
      <c r="AT178" s="1">
        <v>0.03119322</v>
      </c>
      <c r="AU178" s="1">
        <v>0.05131333</v>
      </c>
      <c r="AV178" s="1">
        <v>0.05090374</v>
      </c>
      <c r="AW178" s="1">
        <v>0.03438702</v>
      </c>
      <c r="AX178" s="1">
        <v>0.10228668</v>
      </c>
      <c r="AY178" s="1">
        <v>0.05043871</v>
      </c>
      <c r="AZ178" s="1">
        <v>371</v>
      </c>
      <c r="BA178" s="1">
        <v>11.123</v>
      </c>
      <c r="BB178" s="1">
        <f t="shared" si="7"/>
        <v>5.91620206260744</v>
      </c>
      <c r="BC178" s="1">
        <v>0</v>
      </c>
      <c r="BD178" s="1">
        <v>259.09</v>
      </c>
      <c r="BE178" s="1">
        <v>1.3628021478653</v>
      </c>
      <c r="BF178" s="1">
        <v>-5673.19067</v>
      </c>
      <c r="BG178" s="1">
        <v>2.18822</v>
      </c>
      <c r="BH178" s="1">
        <v>1291.66982644703</v>
      </c>
      <c r="BI178" s="1">
        <f t="shared" si="8"/>
        <v>7.16369109939792</v>
      </c>
      <c r="BJ178" s="1">
        <v>4.840708333</v>
      </c>
      <c r="BM178" s="1">
        <v>168954</v>
      </c>
      <c r="BN178" s="1">
        <v>2320000</v>
      </c>
      <c r="BO178" s="1">
        <v>0.0728</v>
      </c>
      <c r="BP178" s="1">
        <v>0.42975</v>
      </c>
      <c r="BQ178" s="1">
        <v>19.58561</v>
      </c>
      <c r="BR178" s="1">
        <v>16502.4</v>
      </c>
      <c r="BS178" s="1">
        <v>752087</v>
      </c>
    </row>
    <row r="179" spans="1:71">
      <c r="A179" s="1" t="s">
        <v>85</v>
      </c>
      <c r="B179" s="1">
        <v>15</v>
      </c>
      <c r="C179" s="1">
        <v>111.772</v>
      </c>
      <c r="D179" s="1">
        <v>22.0394</v>
      </c>
      <c r="E179" s="1">
        <v>2020</v>
      </c>
      <c r="F179" s="1">
        <v>0.402961286788016</v>
      </c>
      <c r="G179" s="1">
        <v>6.9032042031291</v>
      </c>
      <c r="H179" s="1">
        <v>5.55563808136683</v>
      </c>
      <c r="I179" s="1">
        <v>5.50214005018126</v>
      </c>
      <c r="J179" s="1">
        <v>5.5889991284295</v>
      </c>
      <c r="K179" s="1">
        <v>5.66037966206311</v>
      </c>
      <c r="L179" s="1">
        <v>-0.203509</v>
      </c>
      <c r="M179" s="1">
        <v>0</v>
      </c>
      <c r="N179" s="1">
        <v>2.0794415</v>
      </c>
      <c r="O179" s="1">
        <v>10.8658572432484</v>
      </c>
      <c r="P179" s="1">
        <v>257.691978414192</v>
      </c>
      <c r="Q179" s="1">
        <v>244.216145997737</v>
      </c>
      <c r="R179" s="1">
        <v>266.46778478086</v>
      </c>
      <c r="S179" s="1">
        <v>286.257682681608</v>
      </c>
      <c r="T179" s="1">
        <v>54.075</v>
      </c>
      <c r="U179" s="1">
        <v>0</v>
      </c>
      <c r="V179" s="1">
        <v>7</v>
      </c>
      <c r="W179" s="1">
        <v>52356.8545</v>
      </c>
      <c r="X179" s="1">
        <v>0.140933543216333</v>
      </c>
      <c r="Y179" s="1">
        <v>13.99</v>
      </c>
      <c r="Z179" s="1">
        <v>0.3566</v>
      </c>
      <c r="AA179" s="1">
        <v>5.79160702297138</v>
      </c>
      <c r="AB179" s="1">
        <f t="shared" si="6"/>
        <v>1.75640980453773</v>
      </c>
      <c r="AC179" s="1">
        <v>2.19689027193766</v>
      </c>
      <c r="AD179" s="1">
        <v>0.00430662251655629</v>
      </c>
      <c r="AE179" s="1">
        <v>0.86878453038674</v>
      </c>
      <c r="AF179" s="1">
        <v>0</v>
      </c>
      <c r="AG179" s="1">
        <v>0.478</v>
      </c>
      <c r="AH179" s="2">
        <v>4.0087</v>
      </c>
      <c r="AI179" s="1">
        <v>196.634329113456</v>
      </c>
      <c r="AJ179" s="1">
        <v>0.0423843100990252</v>
      </c>
      <c r="AK179" s="1">
        <v>0.0798995548453373</v>
      </c>
      <c r="AL179" s="1">
        <v>0.166572023471512</v>
      </c>
      <c r="AM179" s="1">
        <v>0.168079781869794</v>
      </c>
      <c r="AN179" s="1">
        <v>0</v>
      </c>
      <c r="AO179" s="1">
        <v>0.0314224</v>
      </c>
      <c r="AP179" s="1">
        <v>0.05160634</v>
      </c>
      <c r="AQ179" s="1">
        <v>0.03448948</v>
      </c>
      <c r="AR179" s="1">
        <v>0.02854252</v>
      </c>
      <c r="AS179" s="1">
        <v>0.05140464</v>
      </c>
      <c r="AT179" s="1">
        <v>0.03119322</v>
      </c>
      <c r="AU179" s="1">
        <v>0.05131333</v>
      </c>
      <c r="AV179" s="1">
        <v>0.05090374</v>
      </c>
      <c r="AW179" s="1">
        <v>0.03438702</v>
      </c>
      <c r="AX179" s="1">
        <v>0.10228668</v>
      </c>
      <c r="AY179" s="1">
        <v>0.05043871</v>
      </c>
      <c r="AZ179" s="1">
        <v>575</v>
      </c>
      <c r="BA179" s="1">
        <v>13.006</v>
      </c>
      <c r="BB179" s="1">
        <f t="shared" si="7"/>
        <v>6.35437004079735</v>
      </c>
      <c r="BC179" s="1">
        <v>0.000265</v>
      </c>
      <c r="BD179" s="1">
        <v>260.59</v>
      </c>
      <c r="BE179" s="1">
        <v>1.26109135150909</v>
      </c>
      <c r="BF179" s="1">
        <v>-6361.7955</v>
      </c>
      <c r="BG179" s="1">
        <v>0.969603</v>
      </c>
      <c r="BH179" s="1">
        <v>1360.4405</v>
      </c>
      <c r="BI179" s="1">
        <f t="shared" si="8"/>
        <v>7.21556382334559</v>
      </c>
      <c r="BJ179" s="1">
        <v>4.840708333</v>
      </c>
      <c r="BM179" s="1">
        <v>168954</v>
      </c>
      <c r="BN179" s="1">
        <v>2320000</v>
      </c>
      <c r="BO179" s="1">
        <v>0.0728</v>
      </c>
      <c r="BP179" s="1">
        <v>0.42975</v>
      </c>
      <c r="BQ179" s="1">
        <v>19.58561</v>
      </c>
      <c r="BR179" s="1">
        <v>16502.4</v>
      </c>
      <c r="BS179" s="1">
        <v>752087</v>
      </c>
    </row>
    <row r="180" spans="1:71">
      <c r="A180" s="1" t="s">
        <v>85</v>
      </c>
      <c r="B180" s="1">
        <v>15</v>
      </c>
      <c r="C180" s="1">
        <v>111.772</v>
      </c>
      <c r="D180" s="1">
        <v>22.0394</v>
      </c>
      <c r="E180" s="1">
        <v>2021</v>
      </c>
      <c r="F180" s="1">
        <v>0.437126704789976</v>
      </c>
      <c r="G180" s="1">
        <v>7.10512174065325</v>
      </c>
      <c r="H180" s="1">
        <v>5.66943900500432</v>
      </c>
      <c r="I180" s="1">
        <v>5.64901497395121</v>
      </c>
      <c r="J180" s="1">
        <v>5.68249797629123</v>
      </c>
      <c r="K180" s="1">
        <v>5.71147393241306</v>
      </c>
      <c r="L180" s="1">
        <v>-0.203509</v>
      </c>
      <c r="M180" s="1">
        <v>0</v>
      </c>
      <c r="N180" s="1">
        <v>2.4849067</v>
      </c>
      <c r="O180" s="1">
        <v>10.6938938964883</v>
      </c>
      <c r="P180" s="1">
        <v>288.871872131865</v>
      </c>
      <c r="Q180" s="1">
        <v>283.011569238682</v>
      </c>
      <c r="R180" s="1">
        <v>292.682125422813</v>
      </c>
      <c r="S180" s="1">
        <v>301.316333921311</v>
      </c>
      <c r="T180" s="1">
        <v>73.3906</v>
      </c>
      <c r="U180" s="1">
        <v>0</v>
      </c>
      <c r="V180" s="1">
        <v>11</v>
      </c>
      <c r="W180" s="1">
        <v>44084.8389</v>
      </c>
      <c r="X180" s="1">
        <v>0.177177199763751</v>
      </c>
      <c r="Y180" s="1">
        <v>2.3</v>
      </c>
      <c r="Z180" s="1">
        <v>0.3912</v>
      </c>
      <c r="AA180" s="1">
        <v>5.7972703756509</v>
      </c>
      <c r="AB180" s="1">
        <f t="shared" si="6"/>
        <v>1.75738718188595</v>
      </c>
      <c r="AC180" s="1">
        <v>2.14933709780427</v>
      </c>
      <c r="AD180" s="1">
        <v>0.00448844884488449</v>
      </c>
      <c r="AE180" s="1">
        <v>0.98103743577196</v>
      </c>
      <c r="AF180" s="1">
        <v>0</v>
      </c>
      <c r="AG180" s="1">
        <v>0.421972</v>
      </c>
      <c r="AH180" s="2">
        <v>4.30933</v>
      </c>
      <c r="AI180" s="1">
        <v>196.634329113456</v>
      </c>
      <c r="AJ180" s="1">
        <v>0.0423843100990252</v>
      </c>
      <c r="AK180" s="1">
        <v>0.0798995548453373</v>
      </c>
      <c r="AL180" s="1">
        <v>0.166572023471512</v>
      </c>
      <c r="AM180" s="1">
        <v>0.168079781869794</v>
      </c>
      <c r="AN180" s="1">
        <v>0</v>
      </c>
      <c r="AO180" s="1">
        <v>0.0314224</v>
      </c>
      <c r="AP180" s="1">
        <v>0.05160634</v>
      </c>
      <c r="AQ180" s="1">
        <v>0.03448948</v>
      </c>
      <c r="AR180" s="1">
        <v>0.02854252</v>
      </c>
      <c r="AS180" s="1">
        <v>0.05140464</v>
      </c>
      <c r="AT180" s="1">
        <v>0.03119322</v>
      </c>
      <c r="AU180" s="1">
        <v>0.05131333</v>
      </c>
      <c r="AV180" s="1">
        <v>0.05090374</v>
      </c>
      <c r="AW180" s="1">
        <v>0.03438702</v>
      </c>
      <c r="AX180" s="1">
        <v>0.10228668</v>
      </c>
      <c r="AY180" s="1">
        <v>0.05043871</v>
      </c>
      <c r="AZ180" s="1">
        <v>513</v>
      </c>
      <c r="BA180" s="1">
        <v>13.62</v>
      </c>
      <c r="BB180" s="1">
        <f t="shared" si="7"/>
        <v>6.24027584517077</v>
      </c>
      <c r="BC180" s="1">
        <v>0.000282</v>
      </c>
      <c r="BD180" s="1">
        <v>262.07</v>
      </c>
      <c r="BE180" s="1">
        <v>1.13813316822052</v>
      </c>
      <c r="BF180" s="1">
        <v>-697.794</v>
      </c>
      <c r="BG180" s="1">
        <v>0.482136</v>
      </c>
      <c r="BH180" s="1">
        <v>1515.8571</v>
      </c>
      <c r="BI180" s="1">
        <f t="shared" si="8"/>
        <v>7.32373630054573</v>
      </c>
      <c r="BJ180" s="1">
        <v>4.840708333</v>
      </c>
      <c r="BM180" s="1">
        <v>168954</v>
      </c>
      <c r="BN180" s="1">
        <v>2320000</v>
      </c>
      <c r="BO180" s="1">
        <v>0.0728</v>
      </c>
      <c r="BP180" s="1">
        <v>0.42975</v>
      </c>
      <c r="BQ180" s="1">
        <v>19.58561</v>
      </c>
      <c r="BR180" s="1">
        <v>16502.4</v>
      </c>
      <c r="BS180" s="1">
        <v>752087</v>
      </c>
    </row>
    <row r="181" spans="1:71">
      <c r="A181" s="1" t="s">
        <v>85</v>
      </c>
      <c r="B181" s="1">
        <v>15</v>
      </c>
      <c r="C181" s="1">
        <v>111.772</v>
      </c>
      <c r="D181" s="1">
        <v>22.0394</v>
      </c>
      <c r="E181" s="1">
        <v>2022</v>
      </c>
      <c r="F181" s="1">
        <v>0.432700603081997</v>
      </c>
      <c r="G181" s="1">
        <v>7.05718458923574</v>
      </c>
      <c r="H181" s="1">
        <v>5.69119328901969</v>
      </c>
      <c r="I181" s="1">
        <v>5.71812668020248</v>
      </c>
      <c r="J181" s="1">
        <v>5.60988283743544</v>
      </c>
      <c r="K181" s="1">
        <v>5.74172048504921</v>
      </c>
      <c r="L181" s="1">
        <v>-0.203509</v>
      </c>
      <c r="M181" s="1">
        <v>2.44321622273379</v>
      </c>
      <c r="N181" s="1">
        <v>2.7725887</v>
      </c>
      <c r="O181" s="1">
        <v>10.9777559178147</v>
      </c>
      <c r="P181" s="1">
        <v>295.246917970051</v>
      </c>
      <c r="Q181" s="1">
        <v>303.3342732082</v>
      </c>
      <c r="R181" s="1">
        <v>272.112237644456</v>
      </c>
      <c r="S181" s="1">
        <v>310.600053318296</v>
      </c>
      <c r="T181" s="1">
        <v>65.7637</v>
      </c>
      <c r="U181" s="1">
        <v>10.51</v>
      </c>
      <c r="V181" s="1">
        <v>15</v>
      </c>
      <c r="W181" s="1">
        <v>58556</v>
      </c>
      <c r="X181" s="1">
        <v>0.17504712656917</v>
      </c>
      <c r="Y181" s="1">
        <v>7.22</v>
      </c>
      <c r="Z181" s="1">
        <v>0.3885</v>
      </c>
      <c r="AA181" s="1">
        <v>5.79784257807358</v>
      </c>
      <c r="AB181" s="1">
        <f t="shared" si="6"/>
        <v>1.75748587905698</v>
      </c>
      <c r="AC181" s="1">
        <v>2.4022399908483</v>
      </c>
      <c r="AD181" s="1">
        <v>0.0050980198019802</v>
      </c>
      <c r="AE181" s="1">
        <v>1.06582884500299</v>
      </c>
      <c r="AF181" s="1">
        <v>2</v>
      </c>
      <c r="AG181" s="1">
        <v>0.42966</v>
      </c>
      <c r="AH181" s="2">
        <v>4.20116</v>
      </c>
      <c r="AI181" s="1">
        <v>196.634329113456</v>
      </c>
      <c r="AJ181" s="1">
        <v>0.0423843100990252</v>
      </c>
      <c r="AK181" s="1">
        <v>0.0798995548453373</v>
      </c>
      <c r="AL181" s="1">
        <v>0.166572023471512</v>
      </c>
      <c r="AM181" s="1">
        <v>0.168079781869794</v>
      </c>
      <c r="AN181" s="1">
        <v>0</v>
      </c>
      <c r="AO181" s="1">
        <v>0.0314224</v>
      </c>
      <c r="AP181" s="1">
        <v>0.05160634</v>
      </c>
      <c r="AQ181" s="1">
        <v>0.03448948</v>
      </c>
      <c r="AR181" s="1">
        <v>0.02854252</v>
      </c>
      <c r="AS181" s="1">
        <v>0.05140464</v>
      </c>
      <c r="AT181" s="1">
        <v>0.03119322</v>
      </c>
      <c r="AU181" s="1">
        <v>0.05131333</v>
      </c>
      <c r="AV181" s="1">
        <v>0.05090374</v>
      </c>
      <c r="AW181" s="1">
        <v>0.03438702</v>
      </c>
      <c r="AX181" s="1">
        <v>0.10228668</v>
      </c>
      <c r="AY181" s="1">
        <v>0.05043871</v>
      </c>
      <c r="AZ181" s="1">
        <v>453</v>
      </c>
      <c r="BA181" s="1">
        <v>15.454</v>
      </c>
      <c r="BB181" s="1">
        <f t="shared" si="7"/>
        <v>6.11589212548303</v>
      </c>
      <c r="BC181" s="1">
        <v>0.000499</v>
      </c>
      <c r="BD181" s="1">
        <v>262.22</v>
      </c>
      <c r="BE181" s="1">
        <v>1.15239372851513</v>
      </c>
      <c r="BF181" s="1">
        <v>634353.956</v>
      </c>
      <c r="BG181" s="1">
        <v>0.0400499999999999</v>
      </c>
      <c r="BH181" s="1">
        <v>1535.02</v>
      </c>
      <c r="BI181" s="1">
        <f t="shared" si="8"/>
        <v>7.33629868925238</v>
      </c>
      <c r="BJ181" s="1">
        <v>4.840708333</v>
      </c>
      <c r="BM181" s="1">
        <v>168954</v>
      </c>
      <c r="BN181" s="1">
        <v>2320000</v>
      </c>
      <c r="BO181" s="1">
        <v>0.0728</v>
      </c>
      <c r="BP181" s="1">
        <v>0.42975</v>
      </c>
      <c r="BQ181" s="1">
        <v>19.58561</v>
      </c>
      <c r="BR181" s="1">
        <v>16502.4</v>
      </c>
      <c r="BS181" s="1">
        <v>752087</v>
      </c>
    </row>
    <row r="182" spans="1:71">
      <c r="A182" s="1" t="s">
        <v>86</v>
      </c>
      <c r="B182" s="1">
        <v>16</v>
      </c>
      <c r="C182" s="1">
        <v>112.874</v>
      </c>
      <c r="D182" s="1">
        <v>24.3147</v>
      </c>
      <c r="E182" s="1">
        <v>2011</v>
      </c>
      <c r="F182" s="1">
        <v>0.241396212713272</v>
      </c>
      <c r="G182" s="1">
        <v>7.41217930094892</v>
      </c>
      <c r="H182" s="1">
        <v>4.0069694827371</v>
      </c>
      <c r="I182" s="1">
        <v>3.72858082096548</v>
      </c>
      <c r="J182" s="1">
        <v>4.24563400976832</v>
      </c>
      <c r="K182" s="1">
        <v>4.27847004651558</v>
      </c>
      <c r="L182" s="1">
        <v>0.6129314</v>
      </c>
      <c r="M182" s="1">
        <v>6.08224174116605</v>
      </c>
      <c r="N182" s="1">
        <v>0.6931472</v>
      </c>
      <c r="O182" s="1">
        <v>10.2020353782982</v>
      </c>
      <c r="P182" s="1">
        <v>53.98</v>
      </c>
      <c r="Q182" s="1">
        <v>40.62</v>
      </c>
      <c r="R182" s="1">
        <v>68.8</v>
      </c>
      <c r="S182" s="1">
        <v>71.13</v>
      </c>
      <c r="T182" s="1">
        <v>66.13</v>
      </c>
      <c r="U182" s="1">
        <v>437.01</v>
      </c>
      <c r="V182" s="1">
        <v>1</v>
      </c>
      <c r="W182" s="1">
        <v>26957</v>
      </c>
      <c r="X182" s="1">
        <v>0.29235648320902</v>
      </c>
      <c r="Y182" s="1">
        <v>2.28</v>
      </c>
      <c r="Z182" s="1">
        <v>0.447100000039879</v>
      </c>
      <c r="AA182" s="1">
        <v>5.27997406475664</v>
      </c>
      <c r="AB182" s="1">
        <f t="shared" si="6"/>
        <v>1.6639211857282</v>
      </c>
      <c r="AC182" s="1">
        <v>1.69869882594045</v>
      </c>
      <c r="AD182" s="1">
        <v>0.0021109243697479</v>
      </c>
      <c r="AE182" s="1">
        <v>0.853436952714536</v>
      </c>
      <c r="AF182" s="1">
        <v>4</v>
      </c>
      <c r="AG182" s="1">
        <v>0.346828</v>
      </c>
      <c r="AH182" s="2">
        <v>4.20663</v>
      </c>
      <c r="AI182" s="1">
        <v>126.660105465574</v>
      </c>
      <c r="AJ182" s="1">
        <v>0.141036489986409</v>
      </c>
      <c r="AK182" s="1">
        <v>0.173797474824925</v>
      </c>
      <c r="AL182" s="1">
        <v>0.216043106954046</v>
      </c>
      <c r="AM182" s="1">
        <v>0.21355174233098</v>
      </c>
      <c r="AN182" s="1">
        <v>0</v>
      </c>
      <c r="AO182" s="1">
        <v>0.05734362</v>
      </c>
      <c r="AP182" s="1">
        <v>0.05475034</v>
      </c>
      <c r="AQ182" s="1">
        <v>0.06677536</v>
      </c>
      <c r="AR182" s="1">
        <v>0.03198062</v>
      </c>
      <c r="AS182" s="1">
        <v>0.0541564</v>
      </c>
      <c r="AT182" s="1">
        <v>0.03682158</v>
      </c>
      <c r="AU182" s="1">
        <v>0.06897023</v>
      </c>
      <c r="AV182" s="1">
        <v>0.03645241</v>
      </c>
      <c r="AW182" s="1">
        <v>0.13410344</v>
      </c>
      <c r="AX182" s="1">
        <v>0.0508356</v>
      </c>
      <c r="AY182" s="1">
        <v>0.0597932</v>
      </c>
      <c r="AZ182" s="1">
        <v>145</v>
      </c>
      <c r="BA182" s="1">
        <v>8.792</v>
      </c>
      <c r="BB182" s="1">
        <f t="shared" si="7"/>
        <v>4.97673374242057</v>
      </c>
      <c r="BC182" s="1">
        <v>0.000335</v>
      </c>
      <c r="BD182" s="1">
        <v>416.5</v>
      </c>
      <c r="BE182" s="1">
        <v>0.925968885421753</v>
      </c>
      <c r="BF182" s="1">
        <v>-249.942338</v>
      </c>
      <c r="BG182" s="1">
        <v>1.5570813</v>
      </c>
      <c r="BH182" s="1">
        <v>1003.694869</v>
      </c>
      <c r="BI182" s="1">
        <f t="shared" si="8"/>
        <v>6.9114433387214</v>
      </c>
      <c r="BJ182" s="1">
        <v>3.773991667</v>
      </c>
      <c r="BM182" s="1">
        <v>198765</v>
      </c>
      <c r="BN182" s="1">
        <v>3580000</v>
      </c>
      <c r="BO182" s="1">
        <v>0.0555</v>
      </c>
      <c r="BP182" s="1">
        <v>0.509556</v>
      </c>
      <c r="BQ182" s="1">
        <v>88.389871</v>
      </c>
      <c r="BR182" s="1">
        <v>19566.9</v>
      </c>
      <c r="BS182" s="3">
        <v>3400000</v>
      </c>
    </row>
    <row r="183" spans="1:71">
      <c r="A183" s="1" t="s">
        <v>86</v>
      </c>
      <c r="B183" s="1">
        <v>16</v>
      </c>
      <c r="C183" s="1">
        <v>112.874</v>
      </c>
      <c r="D183" s="1">
        <v>24.3147</v>
      </c>
      <c r="E183" s="1">
        <v>2012</v>
      </c>
      <c r="F183" s="1">
        <v>0.251709064728734</v>
      </c>
      <c r="G183" s="1">
        <v>7.38665201581345</v>
      </c>
      <c r="H183" s="1">
        <v>4.52298351500014</v>
      </c>
      <c r="I183" s="1">
        <v>4.37588279991339</v>
      </c>
      <c r="J183" s="1">
        <v>4.59552380893628</v>
      </c>
      <c r="K183" s="1">
        <v>4.79653407076627</v>
      </c>
      <c r="L183" s="1">
        <v>0.6129314</v>
      </c>
      <c r="M183" s="1">
        <v>6.16078529172468</v>
      </c>
      <c r="N183" s="1">
        <v>1.9459102</v>
      </c>
      <c r="O183" s="1">
        <v>10.2154109162359</v>
      </c>
      <c r="P183" s="1">
        <v>91.11</v>
      </c>
      <c r="Q183" s="1">
        <v>78.51</v>
      </c>
      <c r="R183" s="1">
        <v>98.04</v>
      </c>
      <c r="S183" s="1">
        <v>120.09</v>
      </c>
      <c r="T183" s="1">
        <v>75.51</v>
      </c>
      <c r="U183" s="1">
        <v>472.8</v>
      </c>
      <c r="V183" s="1">
        <v>6</v>
      </c>
      <c r="W183" s="1">
        <v>27320</v>
      </c>
      <c r="X183" s="1">
        <v>0.279408388510467</v>
      </c>
      <c r="Y183" s="1">
        <v>7.31</v>
      </c>
      <c r="Z183" s="1">
        <v>0.406399999960977</v>
      </c>
      <c r="AA183" s="1">
        <v>5.28743678595823</v>
      </c>
      <c r="AB183" s="1">
        <f t="shared" si="6"/>
        <v>1.6653335889266</v>
      </c>
      <c r="AC183" s="1">
        <v>1.86097820741419</v>
      </c>
      <c r="AD183" s="1">
        <v>0.00265910771506039</v>
      </c>
      <c r="AE183" s="1">
        <v>0.791997587212225</v>
      </c>
      <c r="AF183" s="1">
        <v>4</v>
      </c>
      <c r="AG183" s="1">
        <v>0.335104</v>
      </c>
      <c r="AH183" s="2">
        <v>4.33742</v>
      </c>
      <c r="AI183" s="1">
        <v>126.660105465574</v>
      </c>
      <c r="AJ183" s="1">
        <v>0.141036489986409</v>
      </c>
      <c r="AK183" s="1">
        <v>0.173797474824925</v>
      </c>
      <c r="AL183" s="1">
        <v>0.216043106954046</v>
      </c>
      <c r="AM183" s="1">
        <v>0.21355174233098</v>
      </c>
      <c r="AN183" s="1">
        <v>0</v>
      </c>
      <c r="AO183" s="1">
        <v>0.05734362</v>
      </c>
      <c r="AP183" s="1">
        <v>0.05475034</v>
      </c>
      <c r="AQ183" s="1">
        <v>0.06677536</v>
      </c>
      <c r="AR183" s="1">
        <v>0.03198062</v>
      </c>
      <c r="AS183" s="1">
        <v>0.0541564</v>
      </c>
      <c r="AT183" s="1">
        <v>0.03682158</v>
      </c>
      <c r="AU183" s="1">
        <v>0.06897023</v>
      </c>
      <c r="AV183" s="1">
        <v>0.03645241</v>
      </c>
      <c r="AW183" s="1">
        <v>0.13410344</v>
      </c>
      <c r="AX183" s="1">
        <v>0.0508356</v>
      </c>
      <c r="AY183" s="1">
        <v>0.0597932</v>
      </c>
      <c r="AZ183" s="1">
        <v>177</v>
      </c>
      <c r="BA183" s="1">
        <v>10.788</v>
      </c>
      <c r="BB183" s="1">
        <f t="shared" si="7"/>
        <v>5.17614973257383</v>
      </c>
      <c r="BC183" s="1">
        <v>0.00052</v>
      </c>
      <c r="BD183" s="1">
        <v>405.7</v>
      </c>
      <c r="BE183" s="1">
        <v>1.09400582313538</v>
      </c>
      <c r="BF183" s="1">
        <v>-64.162663</v>
      </c>
      <c r="BG183" s="1">
        <v>1.6983792</v>
      </c>
      <c r="BH183" s="1">
        <v>1025.123433</v>
      </c>
      <c r="BI183" s="1">
        <f t="shared" si="8"/>
        <v>6.93256830676133</v>
      </c>
      <c r="BJ183" s="1">
        <v>3.773991667</v>
      </c>
      <c r="BM183" s="1">
        <v>198765</v>
      </c>
      <c r="BN183" s="1">
        <v>3580000</v>
      </c>
      <c r="BO183" s="1">
        <v>0.0555</v>
      </c>
      <c r="BP183" s="1">
        <v>0.509556</v>
      </c>
      <c r="BQ183" s="1">
        <v>88.389871</v>
      </c>
      <c r="BR183" s="1">
        <v>19566.9</v>
      </c>
      <c r="BS183" s="3">
        <v>3400000</v>
      </c>
    </row>
    <row r="184" spans="1:71">
      <c r="A184" s="1" t="s">
        <v>86</v>
      </c>
      <c r="B184" s="1">
        <v>16</v>
      </c>
      <c r="C184" s="1">
        <v>112.874</v>
      </c>
      <c r="D184" s="1">
        <v>24.3147</v>
      </c>
      <c r="E184" s="1">
        <v>2013</v>
      </c>
      <c r="F184" s="1">
        <v>0.24020493986375</v>
      </c>
      <c r="G184" s="1">
        <v>7.36057908911124</v>
      </c>
      <c r="H184" s="1">
        <v>4.82655218668264</v>
      </c>
      <c r="I184" s="1">
        <v>4.71115050952532</v>
      </c>
      <c r="J184" s="1">
        <v>4.85312341621087</v>
      </c>
      <c r="K184" s="1">
        <v>5.09724103327043</v>
      </c>
      <c r="L184" s="1">
        <v>0.6129314</v>
      </c>
      <c r="M184" s="1">
        <v>4.29045944114839</v>
      </c>
      <c r="N184" s="1">
        <v>1.609438</v>
      </c>
      <c r="O184" s="1">
        <v>10.2725998311784</v>
      </c>
      <c r="P184" s="1">
        <v>123.78</v>
      </c>
      <c r="Q184" s="1">
        <v>110.18</v>
      </c>
      <c r="R184" s="1">
        <v>127.14</v>
      </c>
      <c r="S184" s="1">
        <v>162.57</v>
      </c>
      <c r="T184" s="1">
        <v>84.52</v>
      </c>
      <c r="U184" s="1">
        <v>72</v>
      </c>
      <c r="V184" s="1">
        <v>4</v>
      </c>
      <c r="W184" s="1">
        <v>28928</v>
      </c>
      <c r="X184" s="1">
        <v>0.246391881946164</v>
      </c>
      <c r="Y184" s="1">
        <v>5.19</v>
      </c>
      <c r="Z184" s="1">
        <v>0.394099999972554</v>
      </c>
      <c r="AA184" s="1">
        <v>5.29407957017388</v>
      </c>
      <c r="AB184" s="1">
        <f t="shared" si="6"/>
        <v>1.6665891339477</v>
      </c>
      <c r="AC184" s="1">
        <v>2.03680312610615</v>
      </c>
      <c r="AD184" s="1">
        <v>0.00298413860419717</v>
      </c>
      <c r="AE184" s="1">
        <v>0.698570209133589</v>
      </c>
      <c r="AF184" s="1">
        <v>3</v>
      </c>
      <c r="AG184" s="1">
        <v>0.338118</v>
      </c>
      <c r="AH184" s="2">
        <v>4.44875</v>
      </c>
      <c r="AI184" s="1">
        <v>126.660105465574</v>
      </c>
      <c r="AJ184" s="1">
        <v>0.141036489986409</v>
      </c>
      <c r="AK184" s="1">
        <v>0.173797474824925</v>
      </c>
      <c r="AL184" s="1">
        <v>0.216043106954046</v>
      </c>
      <c r="AM184" s="1">
        <v>0.21355174233098</v>
      </c>
      <c r="AN184" s="1">
        <v>0</v>
      </c>
      <c r="AO184" s="1">
        <v>0.05734362</v>
      </c>
      <c r="AP184" s="1">
        <v>0.05475034</v>
      </c>
      <c r="AQ184" s="1">
        <v>0.06677536</v>
      </c>
      <c r="AR184" s="1">
        <v>0.03198062</v>
      </c>
      <c r="AS184" s="1">
        <v>0.0541564</v>
      </c>
      <c r="AT184" s="1">
        <v>0.03682158</v>
      </c>
      <c r="AU184" s="1">
        <v>0.06897023</v>
      </c>
      <c r="AV184" s="1">
        <v>0.03645241</v>
      </c>
      <c r="AW184" s="1">
        <v>0.13410344</v>
      </c>
      <c r="AX184" s="1">
        <v>0.0508356</v>
      </c>
      <c r="AY184" s="1">
        <v>0.0597932</v>
      </c>
      <c r="AZ184" s="1">
        <v>166</v>
      </c>
      <c r="BA184" s="1">
        <v>12.229</v>
      </c>
      <c r="BB184" s="1">
        <f t="shared" si="7"/>
        <v>5.11198778835654</v>
      </c>
      <c r="BC184" s="1">
        <v>0.000225</v>
      </c>
      <c r="BD184" s="1">
        <v>409.8</v>
      </c>
      <c r="BE184" s="1">
        <v>1.14817655086517</v>
      </c>
      <c r="BF184" s="1">
        <v>-52.380346</v>
      </c>
      <c r="BG184" s="1">
        <v>0.8324099</v>
      </c>
      <c r="BH184" s="1">
        <v>1099.54149018007</v>
      </c>
      <c r="BI184" s="1">
        <f t="shared" si="8"/>
        <v>7.00264854478087</v>
      </c>
      <c r="BJ184" s="1">
        <v>3.773991667</v>
      </c>
      <c r="BM184" s="1">
        <v>198765</v>
      </c>
      <c r="BN184" s="1">
        <v>3580000</v>
      </c>
      <c r="BO184" s="1">
        <v>0.0555</v>
      </c>
      <c r="BP184" s="1">
        <v>0.509556</v>
      </c>
      <c r="BQ184" s="1">
        <v>88.389871</v>
      </c>
      <c r="BR184" s="1">
        <v>19566.9</v>
      </c>
      <c r="BS184" s="3">
        <v>3400000</v>
      </c>
    </row>
    <row r="185" spans="1:71">
      <c r="A185" s="1" t="s">
        <v>86</v>
      </c>
      <c r="B185" s="1">
        <v>16</v>
      </c>
      <c r="C185" s="1">
        <v>112.874</v>
      </c>
      <c r="D185" s="1">
        <v>24.3147</v>
      </c>
      <c r="E185" s="1">
        <v>2014</v>
      </c>
      <c r="F185" s="1">
        <v>0.24621725992406</v>
      </c>
      <c r="G185" s="1">
        <v>7.35650913443262</v>
      </c>
      <c r="H185" s="1">
        <v>4.99863018696882</v>
      </c>
      <c r="I185" s="1">
        <v>4.97976363042916</v>
      </c>
      <c r="J185" s="1">
        <v>4.76788409647583</v>
      </c>
      <c r="K185" s="1">
        <v>5.36039974884458</v>
      </c>
      <c r="L185" s="1">
        <v>0.6129314</v>
      </c>
      <c r="M185" s="1">
        <v>2.30258509299404</v>
      </c>
      <c r="N185" s="1">
        <v>1.3862944</v>
      </c>
      <c r="O185" s="1">
        <v>10.3570441681115</v>
      </c>
      <c r="P185" s="1">
        <v>147.21</v>
      </c>
      <c r="Q185" s="1">
        <v>144.44</v>
      </c>
      <c r="R185" s="1">
        <v>116.67</v>
      </c>
      <c r="S185" s="1">
        <v>211.81</v>
      </c>
      <c r="T185" s="1">
        <v>117.46</v>
      </c>
      <c r="U185" s="1">
        <v>9</v>
      </c>
      <c r="V185" s="1">
        <v>3</v>
      </c>
      <c r="W185" s="1">
        <v>31477</v>
      </c>
      <c r="X185" s="1">
        <v>0.225591380038152</v>
      </c>
      <c r="Y185" s="1">
        <v>8.28</v>
      </c>
      <c r="Z185" s="1">
        <v>0.411700000033396</v>
      </c>
      <c r="AA185" s="1">
        <v>5.30143814848898</v>
      </c>
      <c r="AB185" s="1">
        <f t="shared" si="6"/>
        <v>1.66797813252116</v>
      </c>
      <c r="AC185" s="1">
        <v>2.05679417449919</v>
      </c>
      <c r="AD185" s="1">
        <v>0.00341304875090953</v>
      </c>
      <c r="AE185" s="1">
        <v>0.6544</v>
      </c>
      <c r="AF185" s="1">
        <v>1</v>
      </c>
      <c r="AG185" s="1">
        <v>0.39474</v>
      </c>
      <c r="AH185" s="2">
        <v>4.77458</v>
      </c>
      <c r="AI185" s="1">
        <v>126.660105465574</v>
      </c>
      <c r="AJ185" s="1">
        <v>0.141036489986409</v>
      </c>
      <c r="AK185" s="1">
        <v>0.173797474824925</v>
      </c>
      <c r="AL185" s="1">
        <v>0.216043106954046</v>
      </c>
      <c r="AM185" s="1">
        <v>0.21355174233098</v>
      </c>
      <c r="AN185" s="1">
        <v>0</v>
      </c>
      <c r="AO185" s="1">
        <v>0.05734362</v>
      </c>
      <c r="AP185" s="1">
        <v>0.05475034</v>
      </c>
      <c r="AQ185" s="1">
        <v>0.06677536</v>
      </c>
      <c r="AR185" s="1">
        <v>0.03198062</v>
      </c>
      <c r="AS185" s="1">
        <v>0.0541564</v>
      </c>
      <c r="AT185" s="1">
        <v>0.03682158</v>
      </c>
      <c r="AU185" s="1">
        <v>0.06897023</v>
      </c>
      <c r="AV185" s="1">
        <v>0.03645241</v>
      </c>
      <c r="AW185" s="1">
        <v>0.13410344</v>
      </c>
      <c r="AX185" s="1">
        <v>0.0508356</v>
      </c>
      <c r="AY185" s="1">
        <v>0.0597932</v>
      </c>
      <c r="AZ185" s="1">
        <v>197</v>
      </c>
      <c r="BA185" s="1">
        <v>14.072</v>
      </c>
      <c r="BB185" s="1">
        <f t="shared" si="7"/>
        <v>5.28320372873799</v>
      </c>
      <c r="BC185" s="1">
        <v>0.000281</v>
      </c>
      <c r="BD185" s="1">
        <v>383.99</v>
      </c>
      <c r="BE185" s="1">
        <v>1.07286405563354</v>
      </c>
      <c r="BF185" s="1">
        <v>-78.390235</v>
      </c>
      <c r="BG185" s="1">
        <v>1.4279117</v>
      </c>
      <c r="BH185" s="1">
        <v>1194.423150376</v>
      </c>
      <c r="BI185" s="1">
        <f t="shared" si="8"/>
        <v>7.08541862846849</v>
      </c>
      <c r="BJ185" s="1">
        <v>3.773991667</v>
      </c>
      <c r="BM185" s="1">
        <v>198765</v>
      </c>
      <c r="BN185" s="1">
        <v>3580000</v>
      </c>
      <c r="BO185" s="1">
        <v>0.0555</v>
      </c>
      <c r="BP185" s="1">
        <v>0.509556</v>
      </c>
      <c r="BQ185" s="1">
        <v>88.389871</v>
      </c>
      <c r="BR185" s="1">
        <v>19566.9</v>
      </c>
      <c r="BS185" s="3">
        <v>3400000</v>
      </c>
    </row>
    <row r="186" spans="1:71">
      <c r="A186" s="1" t="s">
        <v>86</v>
      </c>
      <c r="B186" s="1">
        <v>16</v>
      </c>
      <c r="C186" s="1">
        <v>112.874</v>
      </c>
      <c r="D186" s="1">
        <v>24.3147</v>
      </c>
      <c r="E186" s="1">
        <v>2015</v>
      </c>
      <c r="F186" s="1">
        <v>0.262057275284902</v>
      </c>
      <c r="G186" s="1">
        <v>7.3574355533266</v>
      </c>
      <c r="H186" s="1">
        <v>5.13726794502962</v>
      </c>
      <c r="I186" s="1">
        <v>5.10041505778705</v>
      </c>
      <c r="J186" s="1">
        <v>4.92797806041524</v>
      </c>
      <c r="K186" s="1">
        <v>5.51757337113505</v>
      </c>
      <c r="L186" s="1">
        <v>0.6129314</v>
      </c>
      <c r="M186" s="1">
        <v>0</v>
      </c>
      <c r="N186" s="1">
        <v>1.9459102</v>
      </c>
      <c r="O186" s="1">
        <v>10.4161015761613</v>
      </c>
      <c r="P186" s="1">
        <v>169.25</v>
      </c>
      <c r="Q186" s="1">
        <v>163.09</v>
      </c>
      <c r="R186" s="1">
        <v>137.1</v>
      </c>
      <c r="S186" s="1">
        <v>248.03</v>
      </c>
      <c r="T186" s="1">
        <v>126.35</v>
      </c>
      <c r="U186" s="1">
        <v>0</v>
      </c>
      <c r="V186" s="1">
        <v>6</v>
      </c>
      <c r="W186" s="1">
        <v>33392</v>
      </c>
      <c r="X186" s="1">
        <v>0.218851405125926</v>
      </c>
      <c r="Y186" s="1">
        <v>7.78</v>
      </c>
      <c r="Z186" s="1">
        <v>0.3794</v>
      </c>
      <c r="AA186" s="1">
        <v>5.31284155245573</v>
      </c>
      <c r="AB186" s="1">
        <f t="shared" si="6"/>
        <v>1.67012682441084</v>
      </c>
      <c r="AC186" s="1">
        <v>2.16068840253643</v>
      </c>
      <c r="AD186" s="1">
        <v>0.00320064036701632</v>
      </c>
      <c r="AE186" s="1">
        <v>0.683174854727945</v>
      </c>
      <c r="AF186" s="1">
        <v>0</v>
      </c>
      <c r="AG186" s="1">
        <v>0.40733</v>
      </c>
      <c r="AH186" s="2">
        <v>4.84694</v>
      </c>
      <c r="AI186" s="1">
        <v>126.660105465574</v>
      </c>
      <c r="AJ186" s="1">
        <v>0.141036489986409</v>
      </c>
      <c r="AK186" s="1">
        <v>0.173797474824925</v>
      </c>
      <c r="AL186" s="1">
        <v>0.216043106954046</v>
      </c>
      <c r="AM186" s="1">
        <v>0.21355174233098</v>
      </c>
      <c r="AN186" s="1">
        <v>0</v>
      </c>
      <c r="AO186" s="1">
        <v>0.05734362</v>
      </c>
      <c r="AP186" s="1">
        <v>0.05475034</v>
      </c>
      <c r="AQ186" s="1">
        <v>0.06677536</v>
      </c>
      <c r="AR186" s="1">
        <v>0.03198062</v>
      </c>
      <c r="AS186" s="1">
        <v>0.0541564</v>
      </c>
      <c r="AT186" s="1">
        <v>0.03682158</v>
      </c>
      <c r="AU186" s="1">
        <v>0.06897023</v>
      </c>
      <c r="AV186" s="1">
        <v>0.03645241</v>
      </c>
      <c r="AW186" s="1">
        <v>0.13410344</v>
      </c>
      <c r="AX186" s="1">
        <v>0.0508356</v>
      </c>
      <c r="AY186" s="1">
        <v>0.0597932</v>
      </c>
      <c r="AZ186" s="1">
        <v>369</v>
      </c>
      <c r="BA186" s="1">
        <v>13.395</v>
      </c>
      <c r="BB186" s="1">
        <f t="shared" si="7"/>
        <v>5.91079664404053</v>
      </c>
      <c r="BC186" s="1">
        <v>0</v>
      </c>
      <c r="BD186" s="1">
        <v>386.29</v>
      </c>
      <c r="BE186" s="1">
        <v>1.22017025947571</v>
      </c>
      <c r="BF186" s="1">
        <v>-58.966472</v>
      </c>
      <c r="BG186" s="1">
        <v>1.4469423</v>
      </c>
      <c r="BH186" s="1">
        <v>1266.26468222383</v>
      </c>
      <c r="BI186" s="1">
        <f t="shared" si="8"/>
        <v>7.14382665053917</v>
      </c>
      <c r="BJ186" s="1">
        <v>3.773991667</v>
      </c>
      <c r="BM186" s="1">
        <v>198765</v>
      </c>
      <c r="BN186" s="1">
        <v>3580000</v>
      </c>
      <c r="BO186" s="1">
        <v>0.0555</v>
      </c>
      <c r="BP186" s="1">
        <v>0.509556</v>
      </c>
      <c r="BQ186" s="1">
        <v>88.389871</v>
      </c>
      <c r="BR186" s="1">
        <v>19566.9</v>
      </c>
      <c r="BS186" s="3">
        <v>3400000</v>
      </c>
    </row>
    <row r="187" spans="1:71">
      <c r="A187" s="1" t="s">
        <v>86</v>
      </c>
      <c r="B187" s="1">
        <v>16</v>
      </c>
      <c r="C187" s="1">
        <v>112.874</v>
      </c>
      <c r="D187" s="1">
        <v>24.3147</v>
      </c>
      <c r="E187" s="1">
        <v>2016</v>
      </c>
      <c r="F187" s="1">
        <v>0.271679022071358</v>
      </c>
      <c r="G187" s="1">
        <v>7.35821896720163</v>
      </c>
      <c r="H187" s="1">
        <v>5.27349877137219</v>
      </c>
      <c r="I187" s="1">
        <v>5.16284107583476</v>
      </c>
      <c r="J187" s="1">
        <v>5.27578715677854</v>
      </c>
      <c r="K187" s="1">
        <v>5.56750814074825</v>
      </c>
      <c r="L187" s="1">
        <v>0.6129314</v>
      </c>
      <c r="M187" s="1">
        <v>6.67300715430979</v>
      </c>
      <c r="N187" s="1">
        <v>2.1972246</v>
      </c>
      <c r="O187" s="1">
        <v>10.4950725501859</v>
      </c>
      <c r="P187" s="1">
        <v>194.097370778218</v>
      </c>
      <c r="Q187" s="1">
        <v>173.659973595286</v>
      </c>
      <c r="R187" s="1">
        <v>194.544339981181</v>
      </c>
      <c r="S187" s="1">
        <v>260.780964543225</v>
      </c>
      <c r="T187" s="1">
        <v>119.37</v>
      </c>
      <c r="U187" s="1">
        <v>789.77</v>
      </c>
      <c r="V187" s="1">
        <v>8</v>
      </c>
      <c r="W187" s="1">
        <v>36136</v>
      </c>
      <c r="X187" s="1">
        <v>0.210050958759119</v>
      </c>
      <c r="Y187" s="1">
        <v>9.2</v>
      </c>
      <c r="Z187" s="1">
        <v>0.366299999985588</v>
      </c>
      <c r="AA187" s="1">
        <v>5.31808291171347</v>
      </c>
      <c r="AB187" s="1">
        <f t="shared" si="6"/>
        <v>1.67111288346903</v>
      </c>
      <c r="AC187" s="1">
        <v>2.19291071105326</v>
      </c>
      <c r="AD187" s="1">
        <v>0.00292222222222222</v>
      </c>
      <c r="AE187" s="1">
        <v>1.05615863366623</v>
      </c>
      <c r="AF187" s="1">
        <v>9</v>
      </c>
      <c r="AG187" s="1">
        <v>0.376272</v>
      </c>
      <c r="AH187" s="2">
        <v>4.79057</v>
      </c>
      <c r="AI187" s="1">
        <v>126.660105465574</v>
      </c>
      <c r="AJ187" s="1">
        <v>0.141036489986409</v>
      </c>
      <c r="AK187" s="1">
        <v>0.173797474824925</v>
      </c>
      <c r="AL187" s="1">
        <v>0.216043106954046</v>
      </c>
      <c r="AM187" s="1">
        <v>0.21355174233098</v>
      </c>
      <c r="AN187" s="1">
        <v>0</v>
      </c>
      <c r="AO187" s="1">
        <v>0.05734362</v>
      </c>
      <c r="AP187" s="1">
        <v>0.05475034</v>
      </c>
      <c r="AQ187" s="1">
        <v>0.06677536</v>
      </c>
      <c r="AR187" s="1">
        <v>0.03198062</v>
      </c>
      <c r="AS187" s="1">
        <v>0.0541564</v>
      </c>
      <c r="AT187" s="1">
        <v>0.03682158</v>
      </c>
      <c r="AU187" s="1">
        <v>0.06897023</v>
      </c>
      <c r="AV187" s="1">
        <v>0.03645241</v>
      </c>
      <c r="AW187" s="1">
        <v>0.13410344</v>
      </c>
      <c r="AX187" s="1">
        <v>0.0508356</v>
      </c>
      <c r="AY187" s="1">
        <v>0.0597932</v>
      </c>
      <c r="AZ187" s="1">
        <v>551</v>
      </c>
      <c r="BA187" s="1">
        <v>12.624</v>
      </c>
      <c r="BB187" s="1">
        <f t="shared" si="7"/>
        <v>6.31173480915291</v>
      </c>
      <c r="BC187" s="1">
        <v>0.000332</v>
      </c>
      <c r="BD187" s="1">
        <v>388.32</v>
      </c>
      <c r="BE187" s="1">
        <v>1.36528944969177</v>
      </c>
      <c r="BF187" s="1">
        <v>-59.62291</v>
      </c>
      <c r="BG187" s="1">
        <v>0.9991285</v>
      </c>
      <c r="BH187" s="1">
        <v>1404.29687787025</v>
      </c>
      <c r="BI187" s="1">
        <f t="shared" si="8"/>
        <v>7.24729201370758</v>
      </c>
      <c r="BJ187" s="1">
        <v>3.773991667</v>
      </c>
      <c r="BM187" s="1">
        <v>198765</v>
      </c>
      <c r="BN187" s="1">
        <v>3580000</v>
      </c>
      <c r="BO187" s="1">
        <v>0.0555</v>
      </c>
      <c r="BP187" s="1">
        <v>0.509556</v>
      </c>
      <c r="BQ187" s="1">
        <v>88.389871</v>
      </c>
      <c r="BR187" s="1">
        <v>19566.9</v>
      </c>
      <c r="BS187" s="3">
        <v>3400000</v>
      </c>
    </row>
    <row r="188" spans="1:71">
      <c r="A188" s="1" t="s">
        <v>86</v>
      </c>
      <c r="B188" s="1">
        <v>16</v>
      </c>
      <c r="C188" s="1">
        <v>112.874</v>
      </c>
      <c r="D188" s="1">
        <v>24.3147</v>
      </c>
      <c r="E188" s="1">
        <v>2017</v>
      </c>
      <c r="F188" s="1">
        <v>0.25370608201342</v>
      </c>
      <c r="G188" s="1">
        <v>7.36575649849407</v>
      </c>
      <c r="H188" s="1">
        <v>5.40306385492969</v>
      </c>
      <c r="I188" s="1">
        <v>5.27708576326181</v>
      </c>
      <c r="J188" s="1">
        <v>5.51244031306783</v>
      </c>
      <c r="K188" s="1">
        <v>5.56931669362676</v>
      </c>
      <c r="L188" s="1">
        <v>0.6129314</v>
      </c>
      <c r="M188" s="1">
        <v>6.79458658087649</v>
      </c>
      <c r="N188" s="1">
        <v>2.7725887</v>
      </c>
      <c r="O188" s="1">
        <v>10.5489139968846</v>
      </c>
      <c r="P188" s="1">
        <v>221.085813564779</v>
      </c>
      <c r="Q188" s="1">
        <v>194.798440101649</v>
      </c>
      <c r="R188" s="1">
        <v>246.754989698952</v>
      </c>
      <c r="S188" s="1">
        <v>261.254837599605</v>
      </c>
      <c r="T188" s="1">
        <v>128.47</v>
      </c>
      <c r="U188" s="1">
        <v>892</v>
      </c>
      <c r="V188" s="1">
        <v>15</v>
      </c>
      <c r="W188" s="1">
        <v>38135</v>
      </c>
      <c r="X188" s="1">
        <v>0.224487104161104</v>
      </c>
      <c r="Y188" s="1">
        <v>7.29</v>
      </c>
      <c r="Z188" s="4">
        <v>0.356</v>
      </c>
      <c r="AA188" s="1">
        <v>5.32409078621201</v>
      </c>
      <c r="AB188" s="1">
        <f t="shared" si="6"/>
        <v>1.67224195264368</v>
      </c>
      <c r="AC188" s="1">
        <v>2.38319003867251</v>
      </c>
      <c r="AD188" s="1">
        <v>0.0026395881006865</v>
      </c>
      <c r="AE188" s="1">
        <v>0.819820988455053</v>
      </c>
      <c r="AF188" s="1">
        <v>28</v>
      </c>
      <c r="AG188" s="1">
        <v>0.401524</v>
      </c>
      <c r="AH188" s="2">
        <v>4.86345</v>
      </c>
      <c r="AI188" s="1">
        <v>126.660105465574</v>
      </c>
      <c r="AJ188" s="1">
        <v>0.141036489986409</v>
      </c>
      <c r="AK188" s="1">
        <v>0.173797474824925</v>
      </c>
      <c r="AL188" s="1">
        <v>0.216043106954046</v>
      </c>
      <c r="AM188" s="1">
        <v>0.21355174233098</v>
      </c>
      <c r="AN188" s="1">
        <v>0</v>
      </c>
      <c r="AO188" s="1">
        <v>0.05734362</v>
      </c>
      <c r="AP188" s="1">
        <v>0.05475034</v>
      </c>
      <c r="AQ188" s="1">
        <v>0.06677536</v>
      </c>
      <c r="AR188" s="1">
        <v>0.03198062</v>
      </c>
      <c r="AS188" s="1">
        <v>0.0541564</v>
      </c>
      <c r="AT188" s="1">
        <v>0.03682158</v>
      </c>
      <c r="AU188" s="1">
        <v>0.06897023</v>
      </c>
      <c r="AV188" s="1">
        <v>0.03645241</v>
      </c>
      <c r="AW188" s="1">
        <v>0.13410344</v>
      </c>
      <c r="AX188" s="1">
        <v>0.0508356</v>
      </c>
      <c r="AY188" s="1">
        <v>0.0597932</v>
      </c>
      <c r="AZ188" s="1">
        <v>1103</v>
      </c>
      <c r="BA188" s="1">
        <v>11.535</v>
      </c>
      <c r="BB188" s="1">
        <f t="shared" si="7"/>
        <v>7.0057890192535</v>
      </c>
      <c r="BC188" s="1">
        <v>0.00064</v>
      </c>
      <c r="BD188" s="1">
        <v>390.66</v>
      </c>
      <c r="BE188" s="1">
        <v>1.53686439990997</v>
      </c>
      <c r="BF188" s="1">
        <v>19.63677</v>
      </c>
      <c r="BG188" s="1">
        <v>1.0696323</v>
      </c>
      <c r="BH188" s="1">
        <v>1474.535302</v>
      </c>
      <c r="BI188" s="1">
        <f t="shared" si="8"/>
        <v>7.29609816964388</v>
      </c>
      <c r="BJ188" s="1">
        <v>3.773991667</v>
      </c>
      <c r="BM188" s="1">
        <v>198765</v>
      </c>
      <c r="BN188" s="1">
        <v>3580000</v>
      </c>
      <c r="BO188" s="1">
        <v>0.0555</v>
      </c>
      <c r="BP188" s="1">
        <v>0.509556</v>
      </c>
      <c r="BQ188" s="1">
        <v>88.389871</v>
      </c>
      <c r="BR188" s="1">
        <v>19566.9</v>
      </c>
      <c r="BS188" s="3">
        <v>3400000</v>
      </c>
    </row>
    <row r="189" spans="1:71">
      <c r="A189" s="1" t="s">
        <v>86</v>
      </c>
      <c r="B189" s="1">
        <v>16</v>
      </c>
      <c r="C189" s="1">
        <v>112.874</v>
      </c>
      <c r="D189" s="1">
        <v>24.3147</v>
      </c>
      <c r="E189" s="1">
        <v>2018</v>
      </c>
      <c r="F189" s="1">
        <v>0.248851045999407</v>
      </c>
      <c r="G189" s="1">
        <v>7.39437986909303</v>
      </c>
      <c r="H189" s="1">
        <v>5.4584673862934</v>
      </c>
      <c r="I189" s="1">
        <v>5.38164226577912</v>
      </c>
      <c r="J189" s="1">
        <v>5.48033249056292</v>
      </c>
      <c r="K189" s="1">
        <v>5.64417215759206</v>
      </c>
      <c r="L189" s="1">
        <v>0.6129314</v>
      </c>
      <c r="M189" s="1">
        <v>3.39450839351135</v>
      </c>
      <c r="N189" s="1">
        <v>2.3025851</v>
      </c>
      <c r="O189" s="1">
        <v>10.608489190543</v>
      </c>
      <c r="P189" s="1">
        <v>233.737386827746</v>
      </c>
      <c r="Q189" s="1">
        <v>216.378976508577</v>
      </c>
      <c r="R189" s="1">
        <v>238.926467378728</v>
      </c>
      <c r="S189" s="1">
        <v>281.63947840635</v>
      </c>
      <c r="T189" s="1">
        <v>135.25</v>
      </c>
      <c r="U189" s="1">
        <v>28.8</v>
      </c>
      <c r="V189" s="1">
        <v>9</v>
      </c>
      <c r="W189" s="1">
        <v>40476</v>
      </c>
      <c r="X189" s="1">
        <v>0.263848355243171</v>
      </c>
      <c r="Y189" s="1">
        <v>16.03</v>
      </c>
      <c r="Z189" s="1">
        <v>0.346799999987222</v>
      </c>
      <c r="AA189" s="1">
        <v>5.33036807850805</v>
      </c>
      <c r="AB189" s="1">
        <f t="shared" si="6"/>
        <v>1.6734202936748</v>
      </c>
      <c r="AC189" s="1">
        <v>2.46750970118801</v>
      </c>
      <c r="AD189" s="1">
        <v>0.00256501128668172</v>
      </c>
      <c r="AE189" s="1">
        <v>0.914246947082768</v>
      </c>
      <c r="AF189" s="1">
        <v>2</v>
      </c>
      <c r="AG189" s="1">
        <v>0.442548</v>
      </c>
      <c r="AH189" s="2">
        <v>4.91449</v>
      </c>
      <c r="AI189" s="1">
        <v>126.660105465574</v>
      </c>
      <c r="AJ189" s="1">
        <v>0.141036489986409</v>
      </c>
      <c r="AK189" s="1">
        <v>0.173797474824925</v>
      </c>
      <c r="AL189" s="1">
        <v>0.216043106954046</v>
      </c>
      <c r="AM189" s="1">
        <v>0.21355174233098</v>
      </c>
      <c r="AN189" s="1">
        <v>0</v>
      </c>
      <c r="AO189" s="1">
        <v>0.05734362</v>
      </c>
      <c r="AP189" s="1">
        <v>0.05475034</v>
      </c>
      <c r="AQ189" s="1">
        <v>0.06677536</v>
      </c>
      <c r="AR189" s="1">
        <v>0.03198062</v>
      </c>
      <c r="AS189" s="1">
        <v>0.0541564</v>
      </c>
      <c r="AT189" s="1">
        <v>0.03682158</v>
      </c>
      <c r="AU189" s="1">
        <v>0.06897023</v>
      </c>
      <c r="AV189" s="1">
        <v>0.03645241</v>
      </c>
      <c r="AW189" s="1">
        <v>0.13410344</v>
      </c>
      <c r="AX189" s="1">
        <v>0.0508356</v>
      </c>
      <c r="AY189" s="1">
        <v>0.0597932</v>
      </c>
      <c r="AZ189" s="1">
        <v>1219</v>
      </c>
      <c r="BA189" s="1">
        <v>11.491</v>
      </c>
      <c r="BB189" s="1">
        <f t="shared" si="7"/>
        <v>7.10578612948127</v>
      </c>
      <c r="BC189" s="1">
        <v>0.000324</v>
      </c>
      <c r="BD189" s="1">
        <v>393.12</v>
      </c>
      <c r="BE189" s="1">
        <v>1.4983583688736</v>
      </c>
      <c r="BF189" s="1">
        <v>-113.15353</v>
      </c>
      <c r="BG189" s="1">
        <v>1.3589059</v>
      </c>
      <c r="BH189" s="1">
        <v>1575.3206</v>
      </c>
      <c r="BI189" s="1">
        <f t="shared" si="8"/>
        <v>7.36221408610067</v>
      </c>
      <c r="BJ189" s="1">
        <v>3.773991667</v>
      </c>
      <c r="BM189" s="1">
        <v>198765</v>
      </c>
      <c r="BN189" s="1">
        <v>3580000</v>
      </c>
      <c r="BO189" s="1">
        <v>0.0555</v>
      </c>
      <c r="BP189" s="1">
        <v>0.509556</v>
      </c>
      <c r="BQ189" s="1">
        <v>88.389871</v>
      </c>
      <c r="BR189" s="1">
        <v>19566.9</v>
      </c>
      <c r="BS189" s="3">
        <v>3400000</v>
      </c>
    </row>
    <row r="190" spans="1:71">
      <c r="A190" s="1" t="s">
        <v>86</v>
      </c>
      <c r="B190" s="1">
        <v>16</v>
      </c>
      <c r="C190" s="1">
        <v>112.874</v>
      </c>
      <c r="D190" s="1">
        <v>24.3147</v>
      </c>
      <c r="E190" s="1">
        <v>2019</v>
      </c>
      <c r="F190" s="1">
        <v>0.257546426915203</v>
      </c>
      <c r="G190" s="1">
        <v>7.35250839221019</v>
      </c>
      <c r="H190" s="1">
        <v>5.50762969436166</v>
      </c>
      <c r="I190" s="1">
        <v>5.45337002903802</v>
      </c>
      <c r="J190" s="1">
        <v>5.50709988651908</v>
      </c>
      <c r="K190" s="1">
        <v>5.66925006782634</v>
      </c>
      <c r="L190" s="1">
        <v>0.6129314</v>
      </c>
      <c r="M190" s="1">
        <v>6.88961167474584</v>
      </c>
      <c r="N190" s="1">
        <v>2.9957323</v>
      </c>
      <c r="O190" s="1">
        <v>10.6867218509747</v>
      </c>
      <c r="P190" s="1">
        <v>245.565997136075</v>
      </c>
      <c r="Q190" s="1">
        <v>232.54389089819</v>
      </c>
      <c r="R190" s="1">
        <v>245.435399070914</v>
      </c>
      <c r="S190" s="1">
        <v>288.817109658576</v>
      </c>
      <c r="T190" s="1">
        <v>147.08</v>
      </c>
      <c r="U190" s="1">
        <v>981.02</v>
      </c>
      <c r="V190" s="1">
        <v>19</v>
      </c>
      <c r="W190" s="1">
        <v>43769.7844</v>
      </c>
      <c r="X190" s="1">
        <v>0.2450952433304</v>
      </c>
      <c r="Y190" s="1">
        <v>2.9</v>
      </c>
      <c r="Z190" s="1">
        <v>0.3325</v>
      </c>
      <c r="AA190" s="1">
        <v>5.33635338676411</v>
      </c>
      <c r="AB190" s="1">
        <f t="shared" si="6"/>
        <v>1.67454253332524</v>
      </c>
      <c r="AC190" s="1">
        <v>2.60326538803276</v>
      </c>
      <c r="AD190" s="1">
        <v>0.00260381165919283</v>
      </c>
      <c r="AE190" s="1">
        <v>0.815619414271965</v>
      </c>
      <c r="AF190" s="1">
        <v>21</v>
      </c>
      <c r="AG190" s="1">
        <v>0.39741</v>
      </c>
      <c r="AH190" s="2">
        <v>4.99775</v>
      </c>
      <c r="AI190" s="1">
        <v>126.660105465574</v>
      </c>
      <c r="AJ190" s="1">
        <v>0.141036489986409</v>
      </c>
      <c r="AK190" s="1">
        <v>0.173797474824925</v>
      </c>
      <c r="AL190" s="1">
        <v>0.216043106954046</v>
      </c>
      <c r="AM190" s="1">
        <v>0.21355174233098</v>
      </c>
      <c r="AN190" s="1">
        <v>0</v>
      </c>
      <c r="AO190" s="1">
        <v>0.05734362</v>
      </c>
      <c r="AP190" s="1">
        <v>0.05475034</v>
      </c>
      <c r="AQ190" s="1">
        <v>0.06677536</v>
      </c>
      <c r="AR190" s="1">
        <v>0.03198062</v>
      </c>
      <c r="AS190" s="1">
        <v>0.0541564</v>
      </c>
      <c r="AT190" s="1">
        <v>0.03682158</v>
      </c>
      <c r="AU190" s="1">
        <v>0.06897023</v>
      </c>
      <c r="AV190" s="1">
        <v>0.03645241</v>
      </c>
      <c r="AW190" s="1">
        <v>0.13410344</v>
      </c>
      <c r="AX190" s="1">
        <v>0.0508356</v>
      </c>
      <c r="AY190" s="1">
        <v>0.0597932</v>
      </c>
      <c r="AZ190" s="1">
        <v>1278</v>
      </c>
      <c r="BA190" s="1">
        <v>11.327</v>
      </c>
      <c r="BB190" s="1">
        <f t="shared" si="7"/>
        <v>7.15305163493748</v>
      </c>
      <c r="BC190" s="1">
        <v>0.00083</v>
      </c>
      <c r="BD190" s="1">
        <v>395.48</v>
      </c>
      <c r="BE190" s="1">
        <v>1.5838930606842</v>
      </c>
      <c r="BF190" s="1">
        <v>-243.83267</v>
      </c>
      <c r="BG190" s="1">
        <v>0.9643065</v>
      </c>
      <c r="BH190" s="1">
        <v>1704.47154455542</v>
      </c>
      <c r="BI190" s="1">
        <f t="shared" si="8"/>
        <v>7.4410103971326</v>
      </c>
      <c r="BJ190" s="1">
        <v>3.773991667</v>
      </c>
      <c r="BM190" s="1">
        <v>198765</v>
      </c>
      <c r="BN190" s="1">
        <v>3580000</v>
      </c>
      <c r="BO190" s="1">
        <v>0.0555</v>
      </c>
      <c r="BP190" s="1">
        <v>0.509556</v>
      </c>
      <c r="BQ190" s="1">
        <v>88.389871</v>
      </c>
      <c r="BR190" s="1">
        <v>19566.9</v>
      </c>
      <c r="BS190" s="3">
        <v>3400000</v>
      </c>
    </row>
    <row r="191" spans="1:71">
      <c r="A191" s="1" t="s">
        <v>86</v>
      </c>
      <c r="B191" s="1">
        <v>16</v>
      </c>
      <c r="C191" s="1">
        <v>112.874</v>
      </c>
      <c r="D191" s="1">
        <v>24.3147</v>
      </c>
      <c r="E191" s="1">
        <v>2020</v>
      </c>
      <c r="F191" s="1">
        <v>0.25600526732658</v>
      </c>
      <c r="G191" s="1">
        <v>7.41348367211245</v>
      </c>
      <c r="H191" s="1">
        <v>5.55667583428341</v>
      </c>
      <c r="I191" s="1">
        <v>5.52132670165565</v>
      </c>
      <c r="J191" s="1">
        <v>5.54834492116209</v>
      </c>
      <c r="K191" s="1">
        <v>5.67873412848347</v>
      </c>
      <c r="L191" s="1">
        <v>0.6129314</v>
      </c>
      <c r="M191" s="1">
        <v>6.43065452461776</v>
      </c>
      <c r="N191" s="1">
        <v>2.3978953</v>
      </c>
      <c r="O191" s="1">
        <v>10.7106057232418</v>
      </c>
      <c r="P191" s="1">
        <v>257.96057612535</v>
      </c>
      <c r="Q191" s="1">
        <v>248.966448218978</v>
      </c>
      <c r="R191" s="1">
        <v>255.812159561466</v>
      </c>
      <c r="S191" s="1">
        <v>291.57882816384</v>
      </c>
      <c r="T191" s="1">
        <v>118.75</v>
      </c>
      <c r="U191" s="1">
        <v>619.58</v>
      </c>
      <c r="V191" s="1">
        <v>10</v>
      </c>
      <c r="W191" s="1">
        <v>44827.7845</v>
      </c>
      <c r="X191" s="1">
        <v>0.2383991538825</v>
      </c>
      <c r="Y191" s="1">
        <v>4.98</v>
      </c>
      <c r="Z191" s="1">
        <v>0.3298</v>
      </c>
      <c r="AA191" s="1">
        <v>5.3411964998529</v>
      </c>
      <c r="AB191" s="1">
        <f t="shared" si="6"/>
        <v>1.67544969151646</v>
      </c>
      <c r="AC191" s="1">
        <v>2.75385660444373</v>
      </c>
      <c r="AD191" s="1">
        <v>0.00248930957683742</v>
      </c>
      <c r="AE191" s="1">
        <v>1.02502700756212</v>
      </c>
      <c r="AF191" s="1">
        <v>9</v>
      </c>
      <c r="AG191" s="1">
        <v>0.43608</v>
      </c>
      <c r="AH191" s="2">
        <v>4.78541</v>
      </c>
      <c r="AI191" s="1">
        <v>126.660105465574</v>
      </c>
      <c r="AJ191" s="1">
        <v>0.141036489986409</v>
      </c>
      <c r="AK191" s="1">
        <v>0.173797474824925</v>
      </c>
      <c r="AL191" s="1">
        <v>0.216043106954046</v>
      </c>
      <c r="AM191" s="1">
        <v>0.21355174233098</v>
      </c>
      <c r="AN191" s="1">
        <v>0</v>
      </c>
      <c r="AO191" s="1">
        <v>0.05734362</v>
      </c>
      <c r="AP191" s="1">
        <v>0.05475034</v>
      </c>
      <c r="AQ191" s="1">
        <v>0.06677536</v>
      </c>
      <c r="AR191" s="1">
        <v>0.03198062</v>
      </c>
      <c r="AS191" s="1">
        <v>0.0541564</v>
      </c>
      <c r="AT191" s="1">
        <v>0.03682158</v>
      </c>
      <c r="AU191" s="1">
        <v>0.06897023</v>
      </c>
      <c r="AV191" s="1">
        <v>0.03645241</v>
      </c>
      <c r="AW191" s="1">
        <v>0.13410344</v>
      </c>
      <c r="AX191" s="1">
        <v>0.0508356</v>
      </c>
      <c r="AY191" s="1">
        <v>0.0597932</v>
      </c>
      <c r="AZ191" s="1">
        <v>1572</v>
      </c>
      <c r="BA191" s="1">
        <v>16.379</v>
      </c>
      <c r="BB191" s="1">
        <f t="shared" si="7"/>
        <v>7.36010397298915</v>
      </c>
      <c r="BC191" s="1">
        <v>0.000889</v>
      </c>
      <c r="BD191" s="1">
        <v>397.4</v>
      </c>
      <c r="BE191" s="1">
        <v>1.52232503890991</v>
      </c>
      <c r="BF191" s="1">
        <v>-58.18417</v>
      </c>
      <c r="BG191" s="1">
        <v>0.5703625</v>
      </c>
      <c r="BH191" s="1">
        <v>1777.1527</v>
      </c>
      <c r="BI191" s="1">
        <f t="shared" si="8"/>
        <v>7.48276775580773</v>
      </c>
      <c r="BJ191" s="1">
        <v>3.773991667</v>
      </c>
      <c r="BM191" s="1">
        <v>198765</v>
      </c>
      <c r="BN191" s="1">
        <v>3580000</v>
      </c>
      <c r="BO191" s="1">
        <v>0.0555</v>
      </c>
      <c r="BP191" s="1">
        <v>0.509556</v>
      </c>
      <c r="BQ191" s="1">
        <v>88.389871</v>
      </c>
      <c r="BR191" s="1">
        <v>19566.9</v>
      </c>
      <c r="BS191" s="3">
        <v>3400000</v>
      </c>
    </row>
    <row r="192" spans="1:71">
      <c r="A192" s="1" t="s">
        <v>86</v>
      </c>
      <c r="B192" s="1">
        <v>16</v>
      </c>
      <c r="C192" s="1">
        <v>112.874</v>
      </c>
      <c r="D192" s="1">
        <v>24.3147</v>
      </c>
      <c r="E192" s="1">
        <v>2021</v>
      </c>
      <c r="F192" s="1">
        <v>0.282938577703921</v>
      </c>
      <c r="G192" s="1">
        <v>7.58703985713492</v>
      </c>
      <c r="H192" s="1">
        <v>5.66557468927832</v>
      </c>
      <c r="I192" s="1">
        <v>5.66581379133302</v>
      </c>
      <c r="J192" s="1">
        <v>5.63258367010126</v>
      </c>
      <c r="K192" s="1">
        <v>5.72218482463592</v>
      </c>
      <c r="L192" s="1">
        <v>0.6129314</v>
      </c>
      <c r="M192" s="1">
        <v>3.7135720667043</v>
      </c>
      <c r="N192" s="1">
        <v>3.0910425</v>
      </c>
      <c r="O192" s="1">
        <v>10.4005905330469</v>
      </c>
      <c r="P192" s="1">
        <v>287.753877153488</v>
      </c>
      <c r="Q192" s="1">
        <v>287.822927071613</v>
      </c>
      <c r="R192" s="1">
        <v>278.383019506877</v>
      </c>
      <c r="S192" s="1">
        <v>304.571814977436</v>
      </c>
      <c r="T192" s="1">
        <v>157.781</v>
      </c>
      <c r="U192" s="1">
        <v>40</v>
      </c>
      <c r="V192" s="1">
        <v>21</v>
      </c>
      <c r="W192" s="1">
        <v>32878.0361</v>
      </c>
      <c r="X192" s="1">
        <v>0.267532532744207</v>
      </c>
      <c r="Y192" s="1">
        <v>12.78</v>
      </c>
      <c r="Z192" s="1">
        <v>0.3956</v>
      </c>
      <c r="AA192" s="1">
        <v>5.34340844525506</v>
      </c>
      <c r="AB192" s="1">
        <f t="shared" si="6"/>
        <v>1.67586373498276</v>
      </c>
      <c r="AC192" s="1">
        <v>2.62521017369975</v>
      </c>
      <c r="AD192" s="1">
        <v>0.00256261061946903</v>
      </c>
      <c r="AE192" s="1">
        <v>0.779610194902549</v>
      </c>
      <c r="AF192" s="1">
        <v>1</v>
      </c>
      <c r="AG192" s="1">
        <v>0.490524</v>
      </c>
      <c r="AH192" s="2">
        <v>5.06753</v>
      </c>
      <c r="AI192" s="1">
        <v>126.660105465574</v>
      </c>
      <c r="AJ192" s="1">
        <v>0.141036489986409</v>
      </c>
      <c r="AK192" s="1">
        <v>0.173797474824925</v>
      </c>
      <c r="AL192" s="1">
        <v>0.216043106954046</v>
      </c>
      <c r="AM192" s="1">
        <v>0.21355174233098</v>
      </c>
      <c r="AN192" s="1">
        <v>0</v>
      </c>
      <c r="AO192" s="1">
        <v>0.05734362</v>
      </c>
      <c r="AP192" s="1">
        <v>0.05475034</v>
      </c>
      <c r="AQ192" s="1">
        <v>0.06677536</v>
      </c>
      <c r="AR192" s="1">
        <v>0.03198062</v>
      </c>
      <c r="AS192" s="1">
        <v>0.0541564</v>
      </c>
      <c r="AT192" s="1">
        <v>0.03682158</v>
      </c>
      <c r="AU192" s="1">
        <v>0.06897023</v>
      </c>
      <c r="AV192" s="1">
        <v>0.03645241</v>
      </c>
      <c r="AW192" s="1">
        <v>0.13410344</v>
      </c>
      <c r="AX192" s="1">
        <v>0.0508356</v>
      </c>
      <c r="AY192" s="1">
        <v>0.0597932</v>
      </c>
      <c r="AZ192" s="1">
        <v>1618</v>
      </c>
      <c r="BA192" s="1">
        <v>16.897</v>
      </c>
      <c r="BB192" s="1">
        <f t="shared" si="7"/>
        <v>7.38894609761844</v>
      </c>
      <c r="BC192" s="1">
        <v>0.000262</v>
      </c>
      <c r="BD192" s="1">
        <v>398.28</v>
      </c>
      <c r="BE192" s="1">
        <v>1.14492762088776</v>
      </c>
      <c r="BF192" s="1">
        <v>2340.43472</v>
      </c>
      <c r="BG192" s="1">
        <v>0.3445358</v>
      </c>
      <c r="BH192" s="1">
        <v>2007.4467</v>
      </c>
      <c r="BI192" s="1">
        <f t="shared" si="8"/>
        <v>7.60461889503258</v>
      </c>
      <c r="BJ192" s="1">
        <v>3.773991667</v>
      </c>
      <c r="BM192" s="1">
        <v>198765</v>
      </c>
      <c r="BN192" s="1">
        <v>3580000</v>
      </c>
      <c r="BO192" s="1">
        <v>0.0555</v>
      </c>
      <c r="BP192" s="1">
        <v>0.509556</v>
      </c>
      <c r="BQ192" s="1">
        <v>88.389871</v>
      </c>
      <c r="BR192" s="1">
        <v>19566.9</v>
      </c>
      <c r="BS192" s="3">
        <v>3400000</v>
      </c>
    </row>
    <row r="193" spans="1:71">
      <c r="A193" s="1" t="s">
        <v>86</v>
      </c>
      <c r="B193" s="1">
        <v>16</v>
      </c>
      <c r="C193" s="1">
        <v>112.874</v>
      </c>
      <c r="D193" s="1">
        <v>24.3147</v>
      </c>
      <c r="E193" s="1">
        <v>2022</v>
      </c>
      <c r="F193" s="1">
        <v>0.280073699149703</v>
      </c>
      <c r="G193" s="1">
        <v>7.59115960368448</v>
      </c>
      <c r="H193" s="1">
        <v>5.68375994056229</v>
      </c>
      <c r="I193" s="1">
        <v>5.73237415112992</v>
      </c>
      <c r="J193" s="1">
        <v>5.55400833401679</v>
      </c>
      <c r="K193" s="1">
        <v>5.73890637720101</v>
      </c>
      <c r="L193" s="1">
        <v>0.6129314</v>
      </c>
      <c r="M193" s="1">
        <v>6.55393340402581</v>
      </c>
      <c r="N193" s="1">
        <v>3.7612002</v>
      </c>
      <c r="O193" s="1">
        <v>10.8396201266238</v>
      </c>
      <c r="P193" s="1">
        <v>293.052975713466</v>
      </c>
      <c r="Q193" s="1">
        <v>307.701302627403</v>
      </c>
      <c r="R193" s="1">
        <v>257.270719150466</v>
      </c>
      <c r="S193" s="1">
        <v>309.724409764841</v>
      </c>
      <c r="T193" s="1">
        <v>134.55</v>
      </c>
      <c r="U193" s="1">
        <v>701</v>
      </c>
      <c r="V193" s="1">
        <v>42</v>
      </c>
      <c r="W193" s="1">
        <v>51001</v>
      </c>
      <c r="X193" s="1">
        <v>0.271941047074654</v>
      </c>
      <c r="Y193" s="1">
        <v>14.38</v>
      </c>
      <c r="Z193" s="1">
        <v>0.3777</v>
      </c>
      <c r="AA193" s="1">
        <v>5.34413631125947</v>
      </c>
      <c r="AB193" s="1">
        <f t="shared" si="6"/>
        <v>1.6759999432555</v>
      </c>
      <c r="AC193" s="1">
        <v>2.8303911479668</v>
      </c>
      <c r="AD193" s="1">
        <v>0.00306828193832599</v>
      </c>
      <c r="AE193" s="1">
        <v>0.857310065971483</v>
      </c>
      <c r="AF193" s="1">
        <v>3</v>
      </c>
      <c r="AG193" s="1">
        <v>0.501312</v>
      </c>
      <c r="AH193" s="2">
        <v>4.90934</v>
      </c>
      <c r="AI193" s="1">
        <v>126.660105465574</v>
      </c>
      <c r="AJ193" s="1">
        <v>0.141036489986409</v>
      </c>
      <c r="AK193" s="1">
        <v>0.173797474824925</v>
      </c>
      <c r="AL193" s="1">
        <v>0.216043106954046</v>
      </c>
      <c r="AM193" s="1">
        <v>0.21355174233098</v>
      </c>
      <c r="AN193" s="1">
        <v>0</v>
      </c>
      <c r="AO193" s="1">
        <v>0.05734362</v>
      </c>
      <c r="AP193" s="1">
        <v>0.05475034</v>
      </c>
      <c r="AQ193" s="1">
        <v>0.06677536</v>
      </c>
      <c r="AR193" s="1">
        <v>0.03198062</v>
      </c>
      <c r="AS193" s="1">
        <v>0.0541564</v>
      </c>
      <c r="AT193" s="1">
        <v>0.03682158</v>
      </c>
      <c r="AU193" s="1">
        <v>0.06897023</v>
      </c>
      <c r="AV193" s="1">
        <v>0.03645241</v>
      </c>
      <c r="AW193" s="1">
        <v>0.13410344</v>
      </c>
      <c r="AX193" s="1">
        <v>0.0508356</v>
      </c>
      <c r="AY193" s="1">
        <v>0.0597932</v>
      </c>
      <c r="AZ193" s="1">
        <v>1424</v>
      </c>
      <c r="BA193" s="1">
        <v>11.196</v>
      </c>
      <c r="BB193" s="1">
        <f t="shared" si="7"/>
        <v>7.26122509197192</v>
      </c>
      <c r="BC193" s="1">
        <v>0.000306</v>
      </c>
      <c r="BD193" s="1">
        <v>398.57</v>
      </c>
      <c r="BE193" s="1">
        <v>1.21657395224013</v>
      </c>
      <c r="BF193" s="1">
        <v>100715.59159</v>
      </c>
      <c r="BG193" s="1">
        <v>0.1233382</v>
      </c>
      <c r="BH193" s="1">
        <v>2032.02</v>
      </c>
      <c r="BI193" s="1">
        <f t="shared" si="8"/>
        <v>7.61678565116962</v>
      </c>
      <c r="BJ193" s="1">
        <v>3.773991667</v>
      </c>
      <c r="BM193" s="1">
        <v>198765</v>
      </c>
      <c r="BN193" s="1">
        <v>3580000</v>
      </c>
      <c r="BO193" s="1">
        <v>0.0555</v>
      </c>
      <c r="BP193" s="1">
        <v>0.509556</v>
      </c>
      <c r="BQ193" s="1">
        <v>88.389871</v>
      </c>
      <c r="BR193" s="1">
        <v>19566.9</v>
      </c>
      <c r="BS193" s="3">
        <v>3400000</v>
      </c>
    </row>
    <row r="194" spans="1:71">
      <c r="A194" s="1" t="s">
        <v>87</v>
      </c>
      <c r="B194" s="1">
        <v>17</v>
      </c>
      <c r="C194" s="1">
        <v>113.876</v>
      </c>
      <c r="D194" s="1">
        <v>22.9353</v>
      </c>
      <c r="E194" s="1">
        <v>2011</v>
      </c>
      <c r="F194" s="1">
        <v>1.01852834026489</v>
      </c>
      <c r="G194" s="1">
        <v>8.05256767671139</v>
      </c>
      <c r="H194" s="1">
        <v>4.3731120172843</v>
      </c>
      <c r="I194" s="1">
        <v>4.47960696301274</v>
      </c>
      <c r="J194" s="1">
        <v>4.32439752183724</v>
      </c>
      <c r="K194" s="1">
        <v>4.03883185229184</v>
      </c>
      <c r="L194" s="1">
        <v>-0.17144</v>
      </c>
      <c r="M194" s="1">
        <v>6.53853048551021</v>
      </c>
      <c r="N194" s="1">
        <v>3.713572</v>
      </c>
      <c r="O194" s="1">
        <v>10.9590357517332</v>
      </c>
      <c r="P194" s="1">
        <v>78.29</v>
      </c>
      <c r="Q194" s="1">
        <v>87.2</v>
      </c>
      <c r="R194" s="1">
        <v>74.52</v>
      </c>
      <c r="S194" s="1">
        <v>55.76</v>
      </c>
      <c r="T194" s="1">
        <v>82.1</v>
      </c>
      <c r="U194" s="1">
        <v>690.27</v>
      </c>
      <c r="V194" s="1">
        <v>40</v>
      </c>
      <c r="W194" s="1">
        <v>57470</v>
      </c>
      <c r="X194" s="1">
        <v>1.84437333540229</v>
      </c>
      <c r="Y194" s="1">
        <v>1.97</v>
      </c>
      <c r="Z194" s="1">
        <v>0.499699999993665</v>
      </c>
      <c r="AA194" s="1">
        <v>8.1183887783757</v>
      </c>
      <c r="AB194" s="1">
        <f t="shared" si="6"/>
        <v>2.09413170817607</v>
      </c>
      <c r="AC194" s="1">
        <v>2.18048870644347</v>
      </c>
      <c r="AD194" s="1">
        <v>0.0243944805194805</v>
      </c>
      <c r="AE194" s="1">
        <v>0.689085468973592</v>
      </c>
      <c r="AF194" s="1">
        <v>36</v>
      </c>
      <c r="AG194" s="1">
        <v>0.347696</v>
      </c>
      <c r="AH194" s="2">
        <v>4.42004</v>
      </c>
      <c r="AI194" s="1">
        <v>40.4360891387594</v>
      </c>
      <c r="AJ194" s="1">
        <v>2.30875691997987</v>
      </c>
      <c r="AK194" s="1">
        <v>3.11168734950917</v>
      </c>
      <c r="AL194" s="1">
        <v>3.1942515548578</v>
      </c>
      <c r="AM194" s="1">
        <v>3.44602222090191</v>
      </c>
      <c r="AN194" s="1">
        <v>1</v>
      </c>
      <c r="AO194" s="1">
        <v>0.12504784</v>
      </c>
      <c r="AP194" s="1">
        <v>0.0431729</v>
      </c>
      <c r="AQ194" s="1">
        <v>0.11482378</v>
      </c>
      <c r="AR194" s="1">
        <v>0.17398551</v>
      </c>
      <c r="AS194" s="1">
        <v>0.04382899</v>
      </c>
      <c r="AT194" s="1">
        <v>0.16212138</v>
      </c>
      <c r="AU194" s="1">
        <v>0.02540232</v>
      </c>
      <c r="AV194" s="1">
        <v>0.06914091</v>
      </c>
      <c r="AW194" s="1">
        <v>0.04322153</v>
      </c>
      <c r="AX194" s="1">
        <v>0.03264505</v>
      </c>
      <c r="AY194" s="1">
        <v>0.06918624</v>
      </c>
      <c r="AZ194" s="1">
        <v>5184</v>
      </c>
      <c r="BA194" s="1">
        <v>45.081</v>
      </c>
      <c r="BB194" s="1">
        <f t="shared" si="7"/>
        <v>8.55333223803211</v>
      </c>
      <c r="BC194" s="1">
        <v>0.000815</v>
      </c>
      <c r="BD194" s="1">
        <v>184.8</v>
      </c>
      <c r="BE194" s="1">
        <v>0.993593335151672</v>
      </c>
      <c r="BF194" s="1">
        <v>1.704527</v>
      </c>
      <c r="BG194" s="1">
        <v>1.4699358</v>
      </c>
      <c r="BH194" s="1">
        <v>4887.260905</v>
      </c>
      <c r="BI194" s="1">
        <f t="shared" si="8"/>
        <v>8.49438728340392</v>
      </c>
      <c r="BJ194" s="1">
        <v>8.469366667</v>
      </c>
      <c r="BM194" s="1">
        <v>312685</v>
      </c>
      <c r="BN194" s="1">
        <v>6440000</v>
      </c>
      <c r="BO194" s="1">
        <v>0.0486</v>
      </c>
      <c r="BP194" s="1">
        <v>0.929183</v>
      </c>
      <c r="BQ194" s="1">
        <v>50.187335</v>
      </c>
      <c r="BR194" s="1">
        <v>35680.6</v>
      </c>
      <c r="BS194" s="3">
        <v>1900000</v>
      </c>
    </row>
    <row r="195" spans="1:71">
      <c r="A195" s="1" t="s">
        <v>87</v>
      </c>
      <c r="B195" s="1">
        <v>17</v>
      </c>
      <c r="C195" s="1">
        <v>113.876</v>
      </c>
      <c r="D195" s="1">
        <v>22.9353</v>
      </c>
      <c r="E195" s="1">
        <v>2012</v>
      </c>
      <c r="F195" s="1">
        <v>1.01827870475253</v>
      </c>
      <c r="G195" s="1">
        <v>7.97609088646192</v>
      </c>
      <c r="H195" s="1">
        <v>4.77313923655764</v>
      </c>
      <c r="I195" s="1">
        <v>4.85546186922131</v>
      </c>
      <c r="J195" s="1">
        <v>4.6996618490808</v>
      </c>
      <c r="K195" s="1">
        <v>4.60497016598542</v>
      </c>
      <c r="L195" s="1">
        <v>-0.17144</v>
      </c>
      <c r="M195" s="1">
        <v>6.47140303679018</v>
      </c>
      <c r="N195" s="1">
        <v>4.465908</v>
      </c>
      <c r="O195" s="1">
        <v>10.9819821642851</v>
      </c>
      <c r="P195" s="1">
        <v>117.29</v>
      </c>
      <c r="Q195" s="1">
        <v>127.44</v>
      </c>
      <c r="R195" s="1">
        <v>108.91</v>
      </c>
      <c r="S195" s="1">
        <v>98.98</v>
      </c>
      <c r="T195" s="1">
        <v>84.21</v>
      </c>
      <c r="U195" s="1">
        <v>645.39</v>
      </c>
      <c r="V195" s="1">
        <v>86</v>
      </c>
      <c r="W195" s="1">
        <v>58804</v>
      </c>
      <c r="X195" s="1">
        <v>1.81954841471832</v>
      </c>
      <c r="Y195" s="1">
        <v>9.18</v>
      </c>
      <c r="Z195" s="1">
        <v>0.474199999992016</v>
      </c>
      <c r="AA195" s="1">
        <v>8.12292130240701</v>
      </c>
      <c r="AB195" s="1">
        <f t="shared" ref="AB195:AB253" si="9">LN(AA195)</f>
        <v>2.09468985577949</v>
      </c>
      <c r="AC195" s="1">
        <v>2.32049174672162</v>
      </c>
      <c r="AD195" s="1">
        <v>0.0280112299465241</v>
      </c>
      <c r="AE195" s="1">
        <v>0.776023843691357</v>
      </c>
      <c r="AF195" s="1">
        <v>50</v>
      </c>
      <c r="AG195" s="1">
        <v>0.328192</v>
      </c>
      <c r="AH195" s="2">
        <v>4.44512</v>
      </c>
      <c r="AI195" s="1">
        <v>40.4360891387594</v>
      </c>
      <c r="AJ195" s="1">
        <v>2.30875691997987</v>
      </c>
      <c r="AK195" s="1">
        <v>3.11168734950917</v>
      </c>
      <c r="AL195" s="1">
        <v>3.1942515548578</v>
      </c>
      <c r="AM195" s="1">
        <v>3.44602222090191</v>
      </c>
      <c r="AN195" s="1">
        <v>1</v>
      </c>
      <c r="AO195" s="1">
        <v>0.12504784</v>
      </c>
      <c r="AP195" s="1">
        <v>0.0431729</v>
      </c>
      <c r="AQ195" s="1">
        <v>0.11482378</v>
      </c>
      <c r="AR195" s="1">
        <v>0.17398551</v>
      </c>
      <c r="AS195" s="1">
        <v>0.04382899</v>
      </c>
      <c r="AT195" s="1">
        <v>0.16212138</v>
      </c>
      <c r="AU195" s="1">
        <v>0.02540232</v>
      </c>
      <c r="AV195" s="1">
        <v>0.06914091</v>
      </c>
      <c r="AW195" s="1">
        <v>0.04322153</v>
      </c>
      <c r="AX195" s="1">
        <v>0.03264505</v>
      </c>
      <c r="AY195" s="1">
        <v>0.06918624</v>
      </c>
      <c r="AZ195" s="1">
        <v>6311</v>
      </c>
      <c r="BA195" s="1">
        <v>52.381</v>
      </c>
      <c r="BB195" s="1">
        <f t="shared" ref="BB195:BB253" si="10">LN(AZ195)</f>
        <v>8.75004942158424</v>
      </c>
      <c r="BC195" s="1">
        <v>0.000651</v>
      </c>
      <c r="BD195" s="1">
        <v>186.1</v>
      </c>
      <c r="BE195" s="1">
        <v>1.10101354122162</v>
      </c>
      <c r="BF195" s="1">
        <v>1.890363</v>
      </c>
      <c r="BG195" s="1">
        <v>1.4826546</v>
      </c>
      <c r="BH195" s="1">
        <v>5190.201132</v>
      </c>
      <c r="BI195" s="1">
        <f t="shared" ref="BI195:BI253" si="11">LN(BH195)</f>
        <v>8.55452772916625</v>
      </c>
      <c r="BJ195" s="1">
        <v>8.469366667</v>
      </c>
      <c r="BM195" s="1">
        <v>312685</v>
      </c>
      <c r="BN195" s="1">
        <v>6440000</v>
      </c>
      <c r="BO195" s="1">
        <v>0.0486</v>
      </c>
      <c r="BP195" s="1">
        <v>0.929183</v>
      </c>
      <c r="BQ195" s="1">
        <v>50.187335</v>
      </c>
      <c r="BR195" s="1">
        <v>35680.6</v>
      </c>
      <c r="BS195" s="3">
        <v>1900000</v>
      </c>
    </row>
    <row r="196" spans="1:71">
      <c r="A196" s="1" t="s">
        <v>87</v>
      </c>
      <c r="B196" s="1">
        <v>17</v>
      </c>
      <c r="C196" s="1">
        <v>113.876</v>
      </c>
      <c r="D196" s="1">
        <v>22.9353</v>
      </c>
      <c r="E196" s="1">
        <v>2013</v>
      </c>
      <c r="F196" s="1">
        <v>0.310205150156438</v>
      </c>
      <c r="G196" s="1">
        <v>7.90501583459411</v>
      </c>
      <c r="H196" s="1">
        <v>5.06177190954363</v>
      </c>
      <c r="I196" s="1">
        <v>5.07348488980186</v>
      </c>
      <c r="J196" s="1">
        <v>5.01010181849011</v>
      </c>
      <c r="K196" s="1">
        <v>5.11283080641092</v>
      </c>
      <c r="L196" s="1">
        <v>-0.17144</v>
      </c>
      <c r="M196" s="1">
        <v>6.92599786651941</v>
      </c>
      <c r="N196" s="1">
        <v>4.5849676</v>
      </c>
      <c r="O196" s="1">
        <v>11.0990753003276</v>
      </c>
      <c r="P196" s="1">
        <v>156.87</v>
      </c>
      <c r="Q196" s="1">
        <v>158.73</v>
      </c>
      <c r="R196" s="1">
        <v>148.92</v>
      </c>
      <c r="S196" s="1">
        <v>165.14</v>
      </c>
      <c r="T196" s="1">
        <v>91.62</v>
      </c>
      <c r="U196" s="1">
        <v>1017.41</v>
      </c>
      <c r="V196" s="1">
        <v>97</v>
      </c>
      <c r="W196" s="1">
        <v>66109</v>
      </c>
      <c r="X196" s="1">
        <v>1.72677575996025</v>
      </c>
      <c r="Y196" s="1">
        <v>2.69</v>
      </c>
      <c r="Z196" s="1">
        <v>0.458800000007286</v>
      </c>
      <c r="AA196" s="1">
        <v>8.12584744650309</v>
      </c>
      <c r="AB196" s="1">
        <f t="shared" si="9"/>
        <v>2.09505002388489</v>
      </c>
      <c r="AC196" s="1">
        <v>2.44169583914319</v>
      </c>
      <c r="AD196" s="1">
        <v>0.0322271042879831</v>
      </c>
      <c r="AE196" s="1">
        <v>0.565050807929369</v>
      </c>
      <c r="AF196" s="1">
        <v>53</v>
      </c>
      <c r="AG196" s="1">
        <v>0.365112</v>
      </c>
      <c r="AH196" s="2">
        <v>4.52851</v>
      </c>
      <c r="AI196" s="1">
        <v>40.4360891387594</v>
      </c>
      <c r="AJ196" s="1">
        <v>2.30875691997987</v>
      </c>
      <c r="AK196" s="1">
        <v>3.11168734950917</v>
      </c>
      <c r="AL196" s="1">
        <v>3.1942515548578</v>
      </c>
      <c r="AM196" s="1">
        <v>3.44602222090191</v>
      </c>
      <c r="AN196" s="1">
        <v>1</v>
      </c>
      <c r="AO196" s="1">
        <v>0.12504784</v>
      </c>
      <c r="AP196" s="1">
        <v>0.0431729</v>
      </c>
      <c r="AQ196" s="1">
        <v>0.11482378</v>
      </c>
      <c r="AR196" s="1">
        <v>0.17398551</v>
      </c>
      <c r="AS196" s="1">
        <v>0.04382899</v>
      </c>
      <c r="AT196" s="1">
        <v>0.16212138</v>
      </c>
      <c r="AU196" s="1">
        <v>0.02540232</v>
      </c>
      <c r="AV196" s="1">
        <v>0.06914091</v>
      </c>
      <c r="AW196" s="1">
        <v>0.04322153</v>
      </c>
      <c r="AX196" s="1">
        <v>0.03264505</v>
      </c>
      <c r="AY196" s="1">
        <v>0.06918624</v>
      </c>
      <c r="AZ196" s="1">
        <v>6963</v>
      </c>
      <c r="BA196" s="1">
        <v>60.9</v>
      </c>
      <c r="BB196" s="1">
        <f t="shared" si="10"/>
        <v>8.84836569494255</v>
      </c>
      <c r="BC196" s="1">
        <v>0.000316</v>
      </c>
      <c r="BD196" s="1">
        <v>188.9</v>
      </c>
      <c r="BE196" s="1">
        <v>1.17153668403625</v>
      </c>
      <c r="BF196" s="1">
        <v>4.076294</v>
      </c>
      <c r="BG196" s="1">
        <v>2.2797499</v>
      </c>
      <c r="BH196" s="1">
        <v>5740.43886514424</v>
      </c>
      <c r="BI196" s="1">
        <f t="shared" si="11"/>
        <v>8.6552909437331</v>
      </c>
      <c r="BJ196" s="1">
        <v>8.469366667</v>
      </c>
      <c r="BM196" s="1">
        <v>312685</v>
      </c>
      <c r="BN196" s="1">
        <v>6440000</v>
      </c>
      <c r="BO196" s="1">
        <v>0.0486</v>
      </c>
      <c r="BP196" s="1">
        <v>0.929183</v>
      </c>
      <c r="BQ196" s="1">
        <v>50.187335</v>
      </c>
      <c r="BR196" s="1">
        <v>35680.6</v>
      </c>
      <c r="BS196" s="3">
        <v>1900000</v>
      </c>
    </row>
    <row r="197" spans="1:71">
      <c r="A197" s="1" t="s">
        <v>87</v>
      </c>
      <c r="B197" s="1">
        <v>17</v>
      </c>
      <c r="C197" s="1">
        <v>113.876</v>
      </c>
      <c r="D197" s="1">
        <v>22.9353</v>
      </c>
      <c r="E197" s="1">
        <v>2014</v>
      </c>
      <c r="F197" s="1">
        <v>0.321793602387851</v>
      </c>
      <c r="G197" s="1">
        <v>7.96114025443289</v>
      </c>
      <c r="H197" s="1">
        <v>5.13650407038543</v>
      </c>
      <c r="I197" s="1">
        <v>5.24938969292461</v>
      </c>
      <c r="J197" s="1">
        <v>4.93209700976577</v>
      </c>
      <c r="K197" s="1">
        <v>5.07604843264448</v>
      </c>
      <c r="L197" s="1">
        <v>-0.17144</v>
      </c>
      <c r="M197" s="1">
        <v>7.09607547457949</v>
      </c>
      <c r="N197" s="1">
        <v>4.5108595</v>
      </c>
      <c r="O197" s="1">
        <v>11.1648704057059</v>
      </c>
      <c r="P197" s="1">
        <v>169.12</v>
      </c>
      <c r="Q197" s="1">
        <v>189.45</v>
      </c>
      <c r="R197" s="1">
        <v>137.67</v>
      </c>
      <c r="S197" s="1">
        <v>159.14</v>
      </c>
      <c r="T197" s="1">
        <v>109.15</v>
      </c>
      <c r="U197" s="1">
        <v>1206.22</v>
      </c>
      <c r="V197" s="1">
        <v>90</v>
      </c>
      <c r="W197" s="1">
        <v>70605</v>
      </c>
      <c r="X197" s="1">
        <v>1.69708068632855</v>
      </c>
      <c r="Y197" s="1">
        <v>9.76</v>
      </c>
      <c r="Z197" s="1">
        <v>0.475099999994899</v>
      </c>
      <c r="AA197" s="1">
        <v>8.1290287789821</v>
      </c>
      <c r="AB197" s="1">
        <f t="shared" si="9"/>
        <v>2.09544145504382</v>
      </c>
      <c r="AC197" s="1">
        <v>2.53100406604486</v>
      </c>
      <c r="AD197" s="1">
        <v>0.0365026123301985</v>
      </c>
      <c r="AE197" s="1">
        <v>0.607916248386634</v>
      </c>
      <c r="AF197" s="1">
        <v>47</v>
      </c>
      <c r="AG197" s="1">
        <v>0.364004</v>
      </c>
      <c r="AH197" s="2">
        <v>4.70184</v>
      </c>
      <c r="AI197" s="1">
        <v>40.4360891387594</v>
      </c>
      <c r="AJ197" s="1">
        <v>2.30875691997987</v>
      </c>
      <c r="AK197" s="1">
        <v>3.11168734950917</v>
      </c>
      <c r="AL197" s="1">
        <v>3.1942515548578</v>
      </c>
      <c r="AM197" s="1">
        <v>3.44602222090191</v>
      </c>
      <c r="AN197" s="1">
        <v>1</v>
      </c>
      <c r="AO197" s="1">
        <v>0.12504784</v>
      </c>
      <c r="AP197" s="1">
        <v>0.0431729</v>
      </c>
      <c r="AQ197" s="1">
        <v>0.11482378</v>
      </c>
      <c r="AR197" s="1">
        <v>0.17398551</v>
      </c>
      <c r="AS197" s="1">
        <v>0.04382899</v>
      </c>
      <c r="AT197" s="1">
        <v>0.16212138</v>
      </c>
      <c r="AU197" s="1">
        <v>0.02540232</v>
      </c>
      <c r="AV197" s="1">
        <v>0.06914091</v>
      </c>
      <c r="AW197" s="1">
        <v>0.04322153</v>
      </c>
      <c r="AX197" s="1">
        <v>0.03264505</v>
      </c>
      <c r="AY197" s="1">
        <v>0.06918624</v>
      </c>
      <c r="AZ197" s="1">
        <v>7438</v>
      </c>
      <c r="BA197" s="1">
        <v>69.866</v>
      </c>
      <c r="BB197" s="1">
        <f t="shared" si="10"/>
        <v>8.91435727448502</v>
      </c>
      <c r="BC197" s="1">
        <v>0</v>
      </c>
      <c r="BD197" s="1">
        <v>995.73</v>
      </c>
      <c r="BE197" s="1">
        <v>1.09745514392853</v>
      </c>
      <c r="BF197" s="1">
        <v>-1.233461</v>
      </c>
      <c r="BG197" s="1">
        <v>3.958975</v>
      </c>
      <c r="BH197" s="1">
        <v>6174.82896786102</v>
      </c>
      <c r="BI197" s="1">
        <f t="shared" si="11"/>
        <v>8.72823646360021</v>
      </c>
      <c r="BJ197" s="1">
        <v>8.469366667</v>
      </c>
      <c r="BM197" s="1">
        <v>312685</v>
      </c>
      <c r="BN197" s="1">
        <v>6440000</v>
      </c>
      <c r="BO197" s="1">
        <v>0.0486</v>
      </c>
      <c r="BP197" s="1">
        <v>0.929183</v>
      </c>
      <c r="BQ197" s="1">
        <v>50.187335</v>
      </c>
      <c r="BR197" s="1">
        <v>35680.6</v>
      </c>
      <c r="BS197" s="3">
        <v>1900000</v>
      </c>
    </row>
    <row r="198" spans="1:71">
      <c r="A198" s="1" t="s">
        <v>87</v>
      </c>
      <c r="B198" s="1">
        <v>17</v>
      </c>
      <c r="C198" s="1">
        <v>113.876</v>
      </c>
      <c r="D198" s="1">
        <v>22.9353</v>
      </c>
      <c r="E198" s="1">
        <v>2015</v>
      </c>
      <c r="F198" s="1">
        <v>0.344145254254918</v>
      </c>
      <c r="G198" s="1">
        <v>7.97046673322279</v>
      </c>
      <c r="H198" s="1">
        <v>5.30325515557766</v>
      </c>
      <c r="I198" s="1">
        <v>5.37101005194147</v>
      </c>
      <c r="J198" s="1">
        <v>5.07229467448298</v>
      </c>
      <c r="K198" s="1">
        <v>5.43699176123579</v>
      </c>
      <c r="L198" s="1">
        <v>-0.17144</v>
      </c>
      <c r="M198" s="1">
        <v>7.49801111519244</v>
      </c>
      <c r="N198" s="1">
        <v>5.159055</v>
      </c>
      <c r="O198" s="1">
        <v>11.2334364046135</v>
      </c>
      <c r="P198" s="1">
        <v>199.99</v>
      </c>
      <c r="Q198" s="1">
        <v>214.08</v>
      </c>
      <c r="R198" s="1">
        <v>158.54</v>
      </c>
      <c r="S198" s="1">
        <v>228.75</v>
      </c>
      <c r="T198" s="1">
        <v>104.69</v>
      </c>
      <c r="U198" s="1">
        <v>1803.45</v>
      </c>
      <c r="V198" s="1">
        <v>173</v>
      </c>
      <c r="W198" s="1">
        <v>75616</v>
      </c>
      <c r="X198" s="1">
        <v>1.65736698837497</v>
      </c>
      <c r="Y198" s="1">
        <v>15.12</v>
      </c>
      <c r="Z198" s="1">
        <v>0.465700000001594</v>
      </c>
      <c r="AA198" s="1">
        <v>8.3097489295554</v>
      </c>
      <c r="AB198" s="1">
        <f t="shared" si="9"/>
        <v>2.11742939536104</v>
      </c>
      <c r="AC198" s="1">
        <v>2.54175414704691</v>
      </c>
      <c r="AD198" s="1">
        <v>0.0587795497666786</v>
      </c>
      <c r="AE198" s="1">
        <v>0.517641313636919</v>
      </c>
      <c r="AF198" s="1">
        <v>84</v>
      </c>
      <c r="AG198" s="1">
        <v>0.37982</v>
      </c>
      <c r="AH198" s="2">
        <v>4.66051</v>
      </c>
      <c r="AI198" s="1">
        <v>40.4360891387594</v>
      </c>
      <c r="AJ198" s="1">
        <v>2.30875691997987</v>
      </c>
      <c r="AK198" s="1">
        <v>3.11168734950917</v>
      </c>
      <c r="AL198" s="1">
        <v>3.1942515548578</v>
      </c>
      <c r="AM198" s="1">
        <v>3.44602222090191</v>
      </c>
      <c r="AN198" s="1">
        <v>1</v>
      </c>
      <c r="AO198" s="1">
        <v>0.12504784</v>
      </c>
      <c r="AP198" s="1">
        <v>0.0431729</v>
      </c>
      <c r="AQ198" s="1">
        <v>0.11482378</v>
      </c>
      <c r="AR198" s="1">
        <v>0.17398551</v>
      </c>
      <c r="AS198" s="1">
        <v>0.04382899</v>
      </c>
      <c r="AT198" s="1">
        <v>0.16212138</v>
      </c>
      <c r="AU198" s="1">
        <v>0.02540232</v>
      </c>
      <c r="AV198" s="1">
        <v>0.06914091</v>
      </c>
      <c r="AW198" s="1">
        <v>0.04322153</v>
      </c>
      <c r="AX198" s="1">
        <v>0.03264505</v>
      </c>
      <c r="AY198" s="1">
        <v>0.06918624</v>
      </c>
      <c r="AZ198" s="1">
        <v>10400</v>
      </c>
      <c r="BA198" s="1">
        <v>114.626</v>
      </c>
      <c r="BB198" s="1">
        <f t="shared" si="10"/>
        <v>9.24956108512946</v>
      </c>
      <c r="BC198" s="1">
        <v>0.000532</v>
      </c>
      <c r="BD198" s="1">
        <v>999.57</v>
      </c>
      <c r="BE198" s="1">
        <v>0.910124838352203</v>
      </c>
      <c r="BF198" s="1">
        <v>6.981469</v>
      </c>
      <c r="BG198" s="1">
        <v>4.201731</v>
      </c>
      <c r="BH198" s="1">
        <v>6665.33682041439</v>
      </c>
      <c r="BI198" s="1">
        <f t="shared" si="11"/>
        <v>8.80467576703201</v>
      </c>
      <c r="BJ198" s="1">
        <v>8.469366667</v>
      </c>
      <c r="BM198" s="1">
        <v>312685</v>
      </c>
      <c r="BN198" s="1">
        <v>6440000</v>
      </c>
      <c r="BO198" s="1">
        <v>0.0486</v>
      </c>
      <c r="BP198" s="1">
        <v>0.929183</v>
      </c>
      <c r="BQ198" s="1">
        <v>50.187335</v>
      </c>
      <c r="BR198" s="1">
        <v>35680.6</v>
      </c>
      <c r="BS198" s="3">
        <v>1900000</v>
      </c>
    </row>
    <row r="199" spans="1:71">
      <c r="A199" s="1" t="s">
        <v>87</v>
      </c>
      <c r="B199" s="1">
        <v>17</v>
      </c>
      <c r="C199" s="1">
        <v>113.876</v>
      </c>
      <c r="D199" s="1">
        <v>22.9353</v>
      </c>
      <c r="E199" s="1">
        <v>2016</v>
      </c>
      <c r="F199" s="1">
        <v>0.351934312126447</v>
      </c>
      <c r="G199" s="1">
        <v>8.0040643679877</v>
      </c>
      <c r="H199" s="1">
        <v>5.40418951999692</v>
      </c>
      <c r="I199" s="1">
        <v>5.43207400355313</v>
      </c>
      <c r="J199" s="1">
        <v>5.32739843139026</v>
      </c>
      <c r="K199" s="1">
        <v>5.44438037760238</v>
      </c>
      <c r="L199" s="1">
        <v>-0.17144</v>
      </c>
      <c r="M199" s="1">
        <v>8.12375348742952</v>
      </c>
      <c r="N199" s="1">
        <v>5.484797</v>
      </c>
      <c r="O199" s="1">
        <v>11.3227692976076</v>
      </c>
      <c r="P199" s="1">
        <v>221.335948642354</v>
      </c>
      <c r="Q199" s="1">
        <v>227.622918758195</v>
      </c>
      <c r="R199" s="1">
        <v>204.901609562591</v>
      </c>
      <c r="S199" s="1">
        <v>230.45382129199</v>
      </c>
      <c r="T199" s="1">
        <v>103.25</v>
      </c>
      <c r="U199" s="1">
        <v>3372.66</v>
      </c>
      <c r="V199" s="1">
        <v>240</v>
      </c>
      <c r="W199" s="1">
        <v>82682</v>
      </c>
      <c r="X199" s="1">
        <v>1.67201576967473</v>
      </c>
      <c r="Y199" s="1">
        <v>8.72</v>
      </c>
      <c r="Z199" s="1">
        <v>0.464799999994142</v>
      </c>
      <c r="AA199" s="1">
        <v>8.32662307444784</v>
      </c>
      <c r="AB199" s="1">
        <f t="shared" si="9"/>
        <v>2.11945798076115</v>
      </c>
      <c r="AC199" s="1">
        <v>2.57787237692274</v>
      </c>
      <c r="AD199" s="1">
        <v>0.0560213930348259</v>
      </c>
      <c r="AE199" s="1">
        <v>0.60875652284587</v>
      </c>
      <c r="AF199" s="1">
        <v>228</v>
      </c>
      <c r="AG199" s="1">
        <v>0.395136</v>
      </c>
      <c r="AH199" s="2">
        <v>4.64679</v>
      </c>
      <c r="AI199" s="1">
        <v>40.4360891387594</v>
      </c>
      <c r="AJ199" s="1">
        <v>2.30875691997987</v>
      </c>
      <c r="AK199" s="1">
        <v>3.11168734950917</v>
      </c>
      <c r="AL199" s="1">
        <v>3.1942515548578</v>
      </c>
      <c r="AM199" s="1">
        <v>3.44602222090191</v>
      </c>
      <c r="AN199" s="1">
        <v>1</v>
      </c>
      <c r="AO199" s="1">
        <v>0.12504784</v>
      </c>
      <c r="AP199" s="1">
        <v>0.0431729</v>
      </c>
      <c r="AQ199" s="1">
        <v>0.11482378</v>
      </c>
      <c r="AR199" s="1">
        <v>0.17398551</v>
      </c>
      <c r="AS199" s="1">
        <v>0.04382899</v>
      </c>
      <c r="AT199" s="1">
        <v>0.16212138</v>
      </c>
      <c r="AU199" s="1">
        <v>0.02540232</v>
      </c>
      <c r="AV199" s="1">
        <v>0.06914091</v>
      </c>
      <c r="AW199" s="1">
        <v>0.04322153</v>
      </c>
      <c r="AX199" s="1">
        <v>0.03264505</v>
      </c>
      <c r="AY199" s="1">
        <v>0.06918624</v>
      </c>
      <c r="AZ199" s="1">
        <v>16168</v>
      </c>
      <c r="BA199" s="1">
        <v>112.603</v>
      </c>
      <c r="BB199" s="1">
        <f t="shared" si="10"/>
        <v>9.69078925908346</v>
      </c>
      <c r="BC199" s="1">
        <v>0.00029</v>
      </c>
      <c r="BD199" s="1">
        <v>1016.58</v>
      </c>
      <c r="BE199" s="1">
        <v>0.875451266765594</v>
      </c>
      <c r="BF199" s="1">
        <v>43.16288</v>
      </c>
      <c r="BG199" s="1">
        <v>3.1108273</v>
      </c>
      <c r="BH199" s="1">
        <v>7260.91510253169</v>
      </c>
      <c r="BI199" s="1">
        <f t="shared" si="11"/>
        <v>8.89026114705624</v>
      </c>
      <c r="BJ199" s="1">
        <v>8.469366667</v>
      </c>
      <c r="BM199" s="1">
        <v>312685</v>
      </c>
      <c r="BN199" s="1">
        <v>6440000</v>
      </c>
      <c r="BO199" s="1">
        <v>0.0486</v>
      </c>
      <c r="BP199" s="1">
        <v>0.929183</v>
      </c>
      <c r="BQ199" s="1">
        <v>50.187335</v>
      </c>
      <c r="BR199" s="1">
        <v>35680.6</v>
      </c>
      <c r="BS199" s="3">
        <v>1900000</v>
      </c>
    </row>
    <row r="200" spans="1:71">
      <c r="A200" s="1" t="s">
        <v>87</v>
      </c>
      <c r="B200" s="1">
        <v>17</v>
      </c>
      <c r="C200" s="1">
        <v>113.876</v>
      </c>
      <c r="D200" s="1">
        <v>22.9353</v>
      </c>
      <c r="E200" s="1">
        <v>2017</v>
      </c>
      <c r="F200" s="1">
        <v>0.358049168415235</v>
      </c>
      <c r="G200" s="1">
        <v>7.7323506065916</v>
      </c>
      <c r="H200" s="1">
        <v>5.52939989184713</v>
      </c>
      <c r="I200" s="1">
        <v>5.52365556625874</v>
      </c>
      <c r="J200" s="1">
        <v>5.53176096062838</v>
      </c>
      <c r="K200" s="1">
        <v>5.5439719357239</v>
      </c>
      <c r="L200" s="1">
        <v>-0.17144</v>
      </c>
      <c r="M200" s="1">
        <v>9.103041311888</v>
      </c>
      <c r="N200" s="1">
        <v>5.627621</v>
      </c>
      <c r="O200" s="1">
        <v>11.4222346029705</v>
      </c>
      <c r="P200" s="1">
        <v>250.992642809627</v>
      </c>
      <c r="Q200" s="1">
        <v>249.549264630928</v>
      </c>
      <c r="R200" s="1">
        <v>251.588317710065</v>
      </c>
      <c r="S200" s="1">
        <v>254.691575663632</v>
      </c>
      <c r="T200" s="1">
        <v>105.21</v>
      </c>
      <c r="U200" s="1">
        <v>8981.57</v>
      </c>
      <c r="V200" s="1">
        <v>277</v>
      </c>
      <c r="W200" s="1">
        <v>91329.0003</v>
      </c>
      <c r="X200" s="1">
        <v>1.64392317319349</v>
      </c>
      <c r="Y200" s="1">
        <v>5.81</v>
      </c>
      <c r="Z200" s="4">
        <v>0.475</v>
      </c>
      <c r="AA200" s="1">
        <v>8.34768673036831</v>
      </c>
      <c r="AB200" s="1">
        <f t="shared" si="9"/>
        <v>2.12198446220133</v>
      </c>
      <c r="AC200" s="1">
        <v>2.46529740178823</v>
      </c>
      <c r="AD200" s="1">
        <v>0.056121327014218</v>
      </c>
      <c r="AE200" s="1">
        <v>0.607857811038354</v>
      </c>
      <c r="AF200" s="1">
        <v>580</v>
      </c>
      <c r="AG200" s="1">
        <v>0.376808</v>
      </c>
      <c r="AH200" s="2">
        <v>4.66542</v>
      </c>
      <c r="AI200" s="1">
        <v>40.4360891387594</v>
      </c>
      <c r="AJ200" s="1">
        <v>2.30875691997987</v>
      </c>
      <c r="AK200" s="1">
        <v>3.11168734950917</v>
      </c>
      <c r="AL200" s="1">
        <v>3.1942515548578</v>
      </c>
      <c r="AM200" s="1">
        <v>3.44602222090191</v>
      </c>
      <c r="AN200" s="1">
        <v>1</v>
      </c>
      <c r="AO200" s="1">
        <v>0.12504784</v>
      </c>
      <c r="AP200" s="1">
        <v>0.0431729</v>
      </c>
      <c r="AQ200" s="1">
        <v>0.11482378</v>
      </c>
      <c r="AR200" s="1">
        <v>0.17398551</v>
      </c>
      <c r="AS200" s="1">
        <v>0.04382899</v>
      </c>
      <c r="AT200" s="1">
        <v>0.16212138</v>
      </c>
      <c r="AU200" s="1">
        <v>0.02540232</v>
      </c>
      <c r="AV200" s="1">
        <v>0.06914091</v>
      </c>
      <c r="AW200" s="1">
        <v>0.04322153</v>
      </c>
      <c r="AX200" s="1">
        <v>0.03264505</v>
      </c>
      <c r="AY200" s="1">
        <v>0.06918624</v>
      </c>
      <c r="AZ200" s="1">
        <v>25929</v>
      </c>
      <c r="BA200" s="1">
        <v>118.416</v>
      </c>
      <c r="BB200" s="1">
        <f t="shared" si="10"/>
        <v>10.1631173124207</v>
      </c>
      <c r="BC200" s="1">
        <v>0.000132</v>
      </c>
      <c r="BD200" s="1">
        <v>1038.22</v>
      </c>
      <c r="BE200" s="1">
        <v>0.824135482311249</v>
      </c>
      <c r="BF200" s="1">
        <v>333.95465</v>
      </c>
      <c r="BG200" s="1">
        <v>7.7454212</v>
      </c>
      <c r="BH200" s="1">
        <v>8079.20239146981</v>
      </c>
      <c r="BI200" s="1">
        <f t="shared" si="11"/>
        <v>8.9970484327156</v>
      </c>
      <c r="BJ200" s="1">
        <v>8.469366667</v>
      </c>
      <c r="BM200" s="1">
        <v>312685</v>
      </c>
      <c r="BN200" s="1">
        <v>6440000</v>
      </c>
      <c r="BO200" s="1">
        <v>0.0486</v>
      </c>
      <c r="BP200" s="1">
        <v>0.929183</v>
      </c>
      <c r="BQ200" s="1">
        <v>50.187335</v>
      </c>
      <c r="BR200" s="1">
        <v>35680.6</v>
      </c>
      <c r="BS200" s="3">
        <v>1900000</v>
      </c>
    </row>
    <row r="201" spans="1:71">
      <c r="A201" s="1" t="s">
        <v>87</v>
      </c>
      <c r="B201" s="1">
        <v>17</v>
      </c>
      <c r="C201" s="1">
        <v>113.876</v>
      </c>
      <c r="D201" s="1">
        <v>22.9353</v>
      </c>
      <c r="E201" s="1">
        <v>2018</v>
      </c>
      <c r="F201" s="1">
        <v>0.371846539559026</v>
      </c>
      <c r="G201" s="1">
        <v>7.75591292778818</v>
      </c>
      <c r="H201" s="1">
        <v>5.58854492200729</v>
      </c>
      <c r="I201" s="1">
        <v>5.59302729317903</v>
      </c>
      <c r="J201" s="1">
        <v>5.53142500070006</v>
      </c>
      <c r="K201" s="1">
        <v>5.67115129847038</v>
      </c>
      <c r="L201" s="1">
        <v>-0.17144</v>
      </c>
      <c r="M201" s="1">
        <v>8.48509759422952</v>
      </c>
      <c r="N201" s="1">
        <v>5.8289456</v>
      </c>
      <c r="O201" s="1">
        <v>11.5022688847817</v>
      </c>
      <c r="P201" s="1">
        <v>266.346326816061</v>
      </c>
      <c r="Q201" s="1">
        <v>267.547362019341</v>
      </c>
      <c r="R201" s="1">
        <v>251.503472387938</v>
      </c>
      <c r="S201" s="1">
        <v>289.368642984225</v>
      </c>
      <c r="T201" s="1">
        <v>109.75</v>
      </c>
      <c r="U201" s="1">
        <v>4841.07</v>
      </c>
      <c r="V201" s="1">
        <v>339</v>
      </c>
      <c r="W201" s="1">
        <v>98939</v>
      </c>
      <c r="X201" s="1">
        <v>1.62089157190015</v>
      </c>
      <c r="Y201" s="1">
        <v>6.37</v>
      </c>
      <c r="Z201" s="1">
        <v>0.4865</v>
      </c>
      <c r="AA201" s="1">
        <v>8.3530181807079</v>
      </c>
      <c r="AB201" s="1">
        <f t="shared" si="9"/>
        <v>2.12262293231969</v>
      </c>
      <c r="AC201" s="1">
        <v>2.5886240317194</v>
      </c>
      <c r="AD201" s="1">
        <v>0.0523310344827586</v>
      </c>
      <c r="AE201" s="1">
        <v>0.726085636197996</v>
      </c>
      <c r="AF201" s="1">
        <v>210</v>
      </c>
      <c r="AG201" s="1">
        <v>0.401432</v>
      </c>
      <c r="AH201" s="2">
        <v>4.70728</v>
      </c>
      <c r="AI201" s="1">
        <v>40.4360891387594</v>
      </c>
      <c r="AJ201" s="1">
        <v>2.30875691997987</v>
      </c>
      <c r="AK201" s="1">
        <v>3.11168734950917</v>
      </c>
      <c r="AL201" s="1">
        <v>3.1942515548578</v>
      </c>
      <c r="AM201" s="1">
        <v>3.44602222090191</v>
      </c>
      <c r="AN201" s="1">
        <v>1</v>
      </c>
      <c r="AO201" s="1">
        <v>0.12504784</v>
      </c>
      <c r="AP201" s="1">
        <v>0.0431729</v>
      </c>
      <c r="AQ201" s="1">
        <v>0.11482378</v>
      </c>
      <c r="AR201" s="1">
        <v>0.17398551</v>
      </c>
      <c r="AS201" s="1">
        <v>0.04382899</v>
      </c>
      <c r="AT201" s="1">
        <v>0.16212138</v>
      </c>
      <c r="AU201" s="1">
        <v>0.02540232</v>
      </c>
      <c r="AV201" s="1">
        <v>0.06914091</v>
      </c>
      <c r="AW201" s="1">
        <v>0.04322153</v>
      </c>
      <c r="AX201" s="1">
        <v>0.03264505</v>
      </c>
      <c r="AY201" s="1">
        <v>0.06918624</v>
      </c>
      <c r="AZ201" s="1">
        <v>27770</v>
      </c>
      <c r="BA201" s="1">
        <v>121.408</v>
      </c>
      <c r="BB201" s="1">
        <f t="shared" si="10"/>
        <v>10.2317115803008</v>
      </c>
      <c r="BC201" s="1">
        <v>0.000192</v>
      </c>
      <c r="BD201" s="1">
        <v>1043.77</v>
      </c>
      <c r="BE201" s="1">
        <v>0.772492647171021</v>
      </c>
      <c r="BF201" s="1">
        <v>18.04453</v>
      </c>
      <c r="BG201" s="1">
        <v>3.4843518</v>
      </c>
      <c r="BH201" s="1">
        <v>8818.1052</v>
      </c>
      <c r="BI201" s="1">
        <f t="shared" si="11"/>
        <v>9.08456229598961</v>
      </c>
      <c r="BJ201" s="1">
        <v>8.469366667</v>
      </c>
      <c r="BM201" s="1">
        <v>312685</v>
      </c>
      <c r="BN201" s="1">
        <v>6440000</v>
      </c>
      <c r="BO201" s="1">
        <v>0.0486</v>
      </c>
      <c r="BP201" s="1">
        <v>0.929183</v>
      </c>
      <c r="BQ201" s="1">
        <v>50.187335</v>
      </c>
      <c r="BR201" s="1">
        <v>35680.6</v>
      </c>
      <c r="BS201" s="3">
        <v>1900000</v>
      </c>
    </row>
    <row r="202" spans="1:71">
      <c r="A202" s="1" t="s">
        <v>87</v>
      </c>
      <c r="B202" s="1">
        <v>17</v>
      </c>
      <c r="C202" s="1">
        <v>113.876</v>
      </c>
      <c r="D202" s="1">
        <v>22.9353</v>
      </c>
      <c r="E202" s="1">
        <v>2019</v>
      </c>
      <c r="F202" s="1">
        <v>0.401412949733728</v>
      </c>
      <c r="G202" s="1">
        <v>7.68756754478798</v>
      </c>
      <c r="H202" s="1">
        <v>5.64345675855883</v>
      </c>
      <c r="I202" s="1">
        <v>5.65698440125571</v>
      </c>
      <c r="J202" s="1">
        <v>5.57462122569503</v>
      </c>
      <c r="K202" s="1">
        <v>5.71667604320014</v>
      </c>
      <c r="L202" s="1">
        <v>-0.17144</v>
      </c>
      <c r="M202" s="1">
        <v>8.05665502301795</v>
      </c>
      <c r="N202" s="1">
        <v>5.894403</v>
      </c>
      <c r="O202" s="1">
        <v>11.6307811219896</v>
      </c>
      <c r="P202" s="1">
        <v>281.437350715753</v>
      </c>
      <c r="Q202" s="1">
        <v>285.284021812083</v>
      </c>
      <c r="R202" s="1">
        <v>262.649673003482</v>
      </c>
      <c r="S202" s="1">
        <v>302.893114738838</v>
      </c>
      <c r="T202" s="1">
        <v>117.35</v>
      </c>
      <c r="U202" s="1">
        <v>3153.72</v>
      </c>
      <c r="V202" s="1">
        <v>362</v>
      </c>
      <c r="W202" s="1">
        <v>112507.1702</v>
      </c>
      <c r="X202" s="1">
        <v>1.45893111995456</v>
      </c>
      <c r="Y202" s="1">
        <v>20.66</v>
      </c>
      <c r="Z202" s="1">
        <v>0.5654</v>
      </c>
      <c r="AA202" s="1">
        <v>8.35467426191846</v>
      </c>
      <c r="AB202" s="1">
        <f t="shared" si="9"/>
        <v>2.12282117408428</v>
      </c>
      <c r="AC202" s="1">
        <v>2.63761163316236</v>
      </c>
      <c r="AD202" s="1">
        <v>0.0495772908366534</v>
      </c>
      <c r="AE202" s="1">
        <v>0.743582263710618</v>
      </c>
      <c r="AF202" s="1">
        <v>139</v>
      </c>
      <c r="AG202" s="1">
        <v>0.461682</v>
      </c>
      <c r="AH202" s="2">
        <v>4.77365</v>
      </c>
      <c r="AI202" s="1">
        <v>40.4360891387594</v>
      </c>
      <c r="AJ202" s="1">
        <v>2.30875691997987</v>
      </c>
      <c r="AK202" s="1">
        <v>3.11168734950917</v>
      </c>
      <c r="AL202" s="1">
        <v>3.1942515548578</v>
      </c>
      <c r="AM202" s="1">
        <v>3.44602222090191</v>
      </c>
      <c r="AN202" s="1">
        <v>1</v>
      </c>
      <c r="AO202" s="1">
        <v>0.12504784</v>
      </c>
      <c r="AP202" s="1">
        <v>0.0431729</v>
      </c>
      <c r="AQ202" s="1">
        <v>0.11482378</v>
      </c>
      <c r="AR202" s="1">
        <v>0.17398551</v>
      </c>
      <c r="AS202" s="1">
        <v>0.04382899</v>
      </c>
      <c r="AT202" s="1">
        <v>0.16212138</v>
      </c>
      <c r="AU202" s="1">
        <v>0.02540232</v>
      </c>
      <c r="AV202" s="1">
        <v>0.06914091</v>
      </c>
      <c r="AW202" s="1">
        <v>0.04322153</v>
      </c>
      <c r="AX202" s="1">
        <v>0.03264505</v>
      </c>
      <c r="AY202" s="1">
        <v>0.06918624</v>
      </c>
      <c r="AZ202" s="1">
        <v>24964</v>
      </c>
      <c r="BA202" s="1">
        <v>124.439</v>
      </c>
      <c r="BB202" s="1">
        <f t="shared" si="10"/>
        <v>10.1251900660539</v>
      </c>
      <c r="BC202" s="1">
        <v>0.000139</v>
      </c>
      <c r="BD202" s="1">
        <v>1045.5</v>
      </c>
      <c r="BE202" s="1">
        <v>0.782544732093811</v>
      </c>
      <c r="BF202" s="1">
        <v>-9.3734</v>
      </c>
      <c r="BG202" s="1">
        <v>4.998367</v>
      </c>
      <c r="BH202" s="1">
        <v>9474.42785981141</v>
      </c>
      <c r="BI202" s="1">
        <f t="shared" si="11"/>
        <v>9.15635164393866</v>
      </c>
      <c r="BJ202" s="1">
        <v>8.469366667</v>
      </c>
      <c r="BM202" s="1">
        <v>312685</v>
      </c>
      <c r="BN202" s="1">
        <v>6440000</v>
      </c>
      <c r="BO202" s="1">
        <v>0.0486</v>
      </c>
      <c r="BP202" s="1">
        <v>0.929183</v>
      </c>
      <c r="BQ202" s="1">
        <v>50.187335</v>
      </c>
      <c r="BR202" s="1">
        <v>35680.6</v>
      </c>
      <c r="BS202" s="3">
        <v>1900000</v>
      </c>
    </row>
    <row r="203" spans="1:71">
      <c r="A203" s="1" t="s">
        <v>87</v>
      </c>
      <c r="B203" s="1">
        <v>17</v>
      </c>
      <c r="C203" s="1">
        <v>113.876</v>
      </c>
      <c r="D203" s="1">
        <v>22.9353</v>
      </c>
      <c r="E203" s="1">
        <v>2020</v>
      </c>
      <c r="F203" s="1">
        <v>0.387441695139696</v>
      </c>
      <c r="G203" s="1">
        <v>7.77714915416858</v>
      </c>
      <c r="H203" s="1">
        <v>5.68275715799994</v>
      </c>
      <c r="I203" s="1">
        <v>5.70592185721115</v>
      </c>
      <c r="J203" s="1">
        <v>5.61737063972349</v>
      </c>
      <c r="K203" s="1">
        <v>5.71975921348071</v>
      </c>
      <c r="L203" s="1">
        <v>-0.17144</v>
      </c>
      <c r="M203" s="1">
        <v>8.7102288137464</v>
      </c>
      <c r="N203" s="1">
        <v>5.590987</v>
      </c>
      <c r="O203" s="1">
        <v>11.4314670110173</v>
      </c>
      <c r="P203" s="1">
        <v>292.758252256909</v>
      </c>
      <c r="Q203" s="1">
        <v>299.642501848039</v>
      </c>
      <c r="R203" s="1">
        <v>274.164923493711</v>
      </c>
      <c r="S203" s="1">
        <v>303.831514832921</v>
      </c>
      <c r="T203" s="1">
        <v>96.47</v>
      </c>
      <c r="U203" s="1">
        <v>6063.63</v>
      </c>
      <c r="V203" s="1">
        <v>267</v>
      </c>
      <c r="W203" s="1">
        <v>92176.1005</v>
      </c>
      <c r="X203" s="1">
        <v>1.37852502942299</v>
      </c>
      <c r="Y203" s="1">
        <v>19.73</v>
      </c>
      <c r="Z203" s="1">
        <v>0.5381</v>
      </c>
      <c r="AA203" s="1">
        <v>8.35740606039459</v>
      </c>
      <c r="AB203" s="1">
        <f t="shared" si="9"/>
        <v>2.12314809909275</v>
      </c>
      <c r="AC203" s="1">
        <v>3.05318023448755</v>
      </c>
      <c r="AD203" s="1">
        <v>0.0507720754716981</v>
      </c>
      <c r="AE203" s="1">
        <v>0.643225331369661</v>
      </c>
      <c r="AF203" s="1">
        <v>174</v>
      </c>
      <c r="AG203" s="1">
        <v>0.47944</v>
      </c>
      <c r="AH203" s="2">
        <v>4.57954</v>
      </c>
      <c r="AI203" s="1">
        <v>40.4360891387594</v>
      </c>
      <c r="AJ203" s="1">
        <v>2.30875691997987</v>
      </c>
      <c r="AK203" s="1">
        <v>3.11168734950917</v>
      </c>
      <c r="AL203" s="1">
        <v>3.1942515548578</v>
      </c>
      <c r="AM203" s="1">
        <v>3.44602222090191</v>
      </c>
      <c r="AN203" s="1">
        <v>1</v>
      </c>
      <c r="AO203" s="1">
        <v>0.12504784</v>
      </c>
      <c r="AP203" s="1">
        <v>0.0431729</v>
      </c>
      <c r="AQ203" s="1">
        <v>0.11482378</v>
      </c>
      <c r="AR203" s="1">
        <v>0.17398551</v>
      </c>
      <c r="AS203" s="1">
        <v>0.04382899</v>
      </c>
      <c r="AT203" s="1">
        <v>0.16212138</v>
      </c>
      <c r="AU203" s="1">
        <v>0.02540232</v>
      </c>
      <c r="AV203" s="1">
        <v>0.06914091</v>
      </c>
      <c r="AW203" s="1">
        <v>0.04322153</v>
      </c>
      <c r="AX203" s="1">
        <v>0.03264505</v>
      </c>
      <c r="AY203" s="1">
        <v>0.06918624</v>
      </c>
      <c r="AZ203" s="1">
        <v>27417</v>
      </c>
      <c r="BA203" s="1">
        <v>135.279</v>
      </c>
      <c r="BB203" s="1">
        <f t="shared" si="10"/>
        <v>10.2189185379403</v>
      </c>
      <c r="BC203" s="1">
        <v>0.000354</v>
      </c>
      <c r="BD203" s="1">
        <v>1048.36</v>
      </c>
      <c r="BE203" s="1">
        <v>0.852447152137756</v>
      </c>
      <c r="BF203" s="1">
        <v>48.307543</v>
      </c>
      <c r="BG203" s="1">
        <v>5.716039</v>
      </c>
      <c r="BH203" s="1">
        <v>9650.1925</v>
      </c>
      <c r="BI203" s="1">
        <f t="shared" si="11"/>
        <v>9.1747331423206</v>
      </c>
      <c r="BJ203" s="1">
        <v>8.469366667</v>
      </c>
      <c r="BM203" s="1">
        <v>312685</v>
      </c>
      <c r="BN203" s="1">
        <v>6440000</v>
      </c>
      <c r="BO203" s="1">
        <v>0.0486</v>
      </c>
      <c r="BP203" s="1">
        <v>0.929183</v>
      </c>
      <c r="BQ203" s="1">
        <v>50.187335</v>
      </c>
      <c r="BR203" s="1">
        <v>35680.6</v>
      </c>
      <c r="BS203" s="3">
        <v>1900000</v>
      </c>
    </row>
    <row r="204" spans="1:71">
      <c r="A204" s="1" t="s">
        <v>87</v>
      </c>
      <c r="B204" s="1">
        <v>17</v>
      </c>
      <c r="C204" s="1">
        <v>113.876</v>
      </c>
      <c r="D204" s="1">
        <v>22.9353</v>
      </c>
      <c r="E204" s="1">
        <v>2021</v>
      </c>
      <c r="F204" s="1">
        <v>0.411881737950869</v>
      </c>
      <c r="G204" s="1">
        <v>7.74057083449646</v>
      </c>
      <c r="H204" s="1">
        <v>5.77330032738305</v>
      </c>
      <c r="I204" s="1">
        <v>5.8130376838394</v>
      </c>
      <c r="J204" s="1">
        <v>5.69919320304017</v>
      </c>
      <c r="K204" s="1">
        <v>5.76929495758896</v>
      </c>
      <c r="L204" s="1">
        <v>-0.17144</v>
      </c>
      <c r="M204" s="1">
        <v>8.46363628435795</v>
      </c>
      <c r="N204" s="1">
        <v>6.082219</v>
      </c>
      <c r="O204" s="1">
        <v>11.1096285935371</v>
      </c>
      <c r="P204" s="1">
        <v>320.597359714521</v>
      </c>
      <c r="Q204" s="1">
        <v>333.634095869732</v>
      </c>
      <c r="R204" s="1">
        <v>297.626372858002</v>
      </c>
      <c r="S204" s="1">
        <v>319.311819595778</v>
      </c>
      <c r="T204" s="1">
        <v>100.4466</v>
      </c>
      <c r="U204" s="1">
        <v>4738.26</v>
      </c>
      <c r="V204" s="1">
        <v>437</v>
      </c>
      <c r="W204" s="1">
        <v>66810.3726</v>
      </c>
      <c r="X204" s="1">
        <v>1.4045646508281</v>
      </c>
      <c r="Y204" s="1">
        <v>12.07</v>
      </c>
      <c r="Z204" s="1">
        <v>0.5821</v>
      </c>
      <c r="AA204" s="1">
        <v>8.36246782074057</v>
      </c>
      <c r="AB204" s="1">
        <f t="shared" si="9"/>
        <v>2.12375357740396</v>
      </c>
      <c r="AC204" s="1">
        <v>3.06544537216048</v>
      </c>
      <c r="AD204" s="1">
        <v>0.0495329749103943</v>
      </c>
      <c r="AE204" s="1">
        <v>0.834682195025661</v>
      </c>
      <c r="AF204" s="1">
        <v>195</v>
      </c>
      <c r="AG204" s="1">
        <v>0.490524</v>
      </c>
      <c r="AH204" s="2">
        <v>4.61953</v>
      </c>
      <c r="AI204" s="1">
        <v>40.4360891387594</v>
      </c>
      <c r="AJ204" s="1">
        <v>2.30875691997987</v>
      </c>
      <c r="AK204" s="1">
        <v>3.11168734950917</v>
      </c>
      <c r="AL204" s="1">
        <v>3.1942515548578</v>
      </c>
      <c r="AM204" s="1">
        <v>3.44602222090191</v>
      </c>
      <c r="AN204" s="1">
        <v>1</v>
      </c>
      <c r="AO204" s="1">
        <v>0.12504784</v>
      </c>
      <c r="AP204" s="1">
        <v>0.0431729</v>
      </c>
      <c r="AQ204" s="1">
        <v>0.11482378</v>
      </c>
      <c r="AR204" s="1">
        <v>0.17398551</v>
      </c>
      <c r="AS204" s="1">
        <v>0.04382899</v>
      </c>
      <c r="AT204" s="1">
        <v>0.16212138</v>
      </c>
      <c r="AU204" s="1">
        <v>0.02540232</v>
      </c>
      <c r="AV204" s="1">
        <v>0.06914091</v>
      </c>
      <c r="AW204" s="1">
        <v>0.04322153</v>
      </c>
      <c r="AX204" s="1">
        <v>0.03264505</v>
      </c>
      <c r="AY204" s="1">
        <v>0.06918624</v>
      </c>
      <c r="AZ204" s="1">
        <v>27677</v>
      </c>
      <c r="BA204" s="1">
        <v>139.334</v>
      </c>
      <c r="BB204" s="1">
        <f t="shared" si="10"/>
        <v>10.228357022355</v>
      </c>
      <c r="BC204" s="1">
        <v>0.00123</v>
      </c>
      <c r="BD204" s="1">
        <v>1053.68</v>
      </c>
      <c r="BE204" s="1">
        <v>0.712294518947601</v>
      </c>
      <c r="BF204" s="1">
        <v>6090.952762</v>
      </c>
      <c r="BG204" s="1">
        <v>7.944722</v>
      </c>
      <c r="BH204" s="1">
        <v>10855.3451</v>
      </c>
      <c r="BI204" s="1">
        <f t="shared" si="11"/>
        <v>9.29241287360806</v>
      </c>
      <c r="BJ204" s="1">
        <v>8.469366667</v>
      </c>
      <c r="BM204" s="1">
        <v>312685</v>
      </c>
      <c r="BN204" s="1">
        <v>6440000</v>
      </c>
      <c r="BO204" s="1">
        <v>0.0486</v>
      </c>
      <c r="BP204" s="1">
        <v>0.929183</v>
      </c>
      <c r="BQ204" s="1">
        <v>50.187335</v>
      </c>
      <c r="BR204" s="1">
        <v>35680.6</v>
      </c>
      <c r="BS204" s="3">
        <v>1900000</v>
      </c>
    </row>
    <row r="205" spans="1:71">
      <c r="A205" s="1" t="s">
        <v>87</v>
      </c>
      <c r="B205" s="1">
        <v>17</v>
      </c>
      <c r="C205" s="1">
        <v>113.876</v>
      </c>
      <c r="D205" s="1">
        <v>22.9353</v>
      </c>
      <c r="E205" s="1">
        <v>2022</v>
      </c>
      <c r="F205" s="1">
        <v>0.407711252725754</v>
      </c>
      <c r="G205" s="1">
        <v>7.31114269017212</v>
      </c>
      <c r="H205" s="1">
        <v>5.79752702829511</v>
      </c>
      <c r="I205" s="1">
        <v>5.87705771384829</v>
      </c>
      <c r="J205" s="1">
        <v>5.61334803804074</v>
      </c>
      <c r="K205" s="1">
        <v>5.82941002387456</v>
      </c>
      <c r="L205" s="1">
        <v>-0.17144</v>
      </c>
      <c r="M205" s="1">
        <v>8.43281761038969</v>
      </c>
      <c r="N205" s="1">
        <v>6.295266</v>
      </c>
      <c r="O205" s="1">
        <v>11.5787506579904</v>
      </c>
      <c r="P205" s="1">
        <v>328.483747636821</v>
      </c>
      <c r="Q205" s="1">
        <v>355.758011837747</v>
      </c>
      <c r="R205" s="1">
        <v>273.060267909063</v>
      </c>
      <c r="S205" s="1">
        <v>339.157934835266</v>
      </c>
      <c r="T205" s="1">
        <v>92.7105</v>
      </c>
      <c r="U205" s="1">
        <v>4594.43</v>
      </c>
      <c r="V205" s="1">
        <v>541</v>
      </c>
      <c r="W205" s="1">
        <v>106803</v>
      </c>
      <c r="X205" s="1">
        <v>1.24341409171388</v>
      </c>
      <c r="Y205" s="1">
        <v>9.81</v>
      </c>
      <c r="Z205" s="1">
        <v>0.5816</v>
      </c>
      <c r="AA205" s="1">
        <v>8.35295111387578</v>
      </c>
      <c r="AB205" s="1">
        <f t="shared" si="9"/>
        <v>2.12261490323369</v>
      </c>
      <c r="AC205" s="1">
        <v>3.40960686696376</v>
      </c>
      <c r="AD205" s="1">
        <v>0.0523753424657534</v>
      </c>
      <c r="AE205" s="1">
        <v>0.819426751592357</v>
      </c>
      <c r="AF205" s="1">
        <v>286</v>
      </c>
      <c r="AG205" s="1">
        <v>0.492828</v>
      </c>
      <c r="AH205" s="2">
        <v>4.54021</v>
      </c>
      <c r="AI205" s="1">
        <v>40.4360891387594</v>
      </c>
      <c r="AJ205" s="1">
        <v>2.30875691997987</v>
      </c>
      <c r="AK205" s="1">
        <v>3.11168734950917</v>
      </c>
      <c r="AL205" s="1">
        <v>3.1942515548578</v>
      </c>
      <c r="AM205" s="1">
        <v>3.44602222090191</v>
      </c>
      <c r="AN205" s="1">
        <v>1</v>
      </c>
      <c r="AO205" s="1">
        <v>0.12504784</v>
      </c>
      <c r="AP205" s="1">
        <v>0.0431729</v>
      </c>
      <c r="AQ205" s="1">
        <v>0.11482378</v>
      </c>
      <c r="AR205" s="1">
        <v>0.17398551</v>
      </c>
      <c r="AS205" s="1">
        <v>0.04382899</v>
      </c>
      <c r="AT205" s="1">
        <v>0.16212138</v>
      </c>
      <c r="AU205" s="1">
        <v>0.02540232</v>
      </c>
      <c r="AV205" s="1">
        <v>0.06914091</v>
      </c>
      <c r="AW205" s="1">
        <v>0.04322153</v>
      </c>
      <c r="AX205" s="1">
        <v>0.03264505</v>
      </c>
      <c r="AY205" s="1">
        <v>0.06918624</v>
      </c>
      <c r="AZ205" s="1">
        <v>25820</v>
      </c>
      <c r="BA205" s="1">
        <v>152.936</v>
      </c>
      <c r="BB205" s="1">
        <f t="shared" si="10"/>
        <v>10.1589046644006</v>
      </c>
      <c r="BC205" s="1">
        <v>0.00137</v>
      </c>
      <c r="BD205" s="1">
        <v>1043.7</v>
      </c>
      <c r="BE205" s="1">
        <v>0.71391418623074</v>
      </c>
      <c r="BF205" s="1">
        <v>307786.170366</v>
      </c>
      <c r="BG205" s="1">
        <v>10.136095</v>
      </c>
      <c r="BH205" s="1">
        <v>11200.32</v>
      </c>
      <c r="BI205" s="1">
        <f t="shared" si="11"/>
        <v>9.3236976283036</v>
      </c>
      <c r="BJ205" s="1">
        <v>8.469366667</v>
      </c>
      <c r="BM205" s="1">
        <v>312685</v>
      </c>
      <c r="BN205" s="1">
        <v>6440000</v>
      </c>
      <c r="BO205" s="1">
        <v>0.0486</v>
      </c>
      <c r="BP205" s="1">
        <v>0.929183</v>
      </c>
      <c r="BQ205" s="1">
        <v>50.187335</v>
      </c>
      <c r="BR205" s="1">
        <v>35680.6</v>
      </c>
      <c r="BS205" s="3">
        <v>1900000</v>
      </c>
    </row>
    <row r="206" spans="1:71">
      <c r="A206" s="1" t="s">
        <v>88</v>
      </c>
      <c r="B206" s="1">
        <v>18</v>
      </c>
      <c r="C206" s="1">
        <v>113.384</v>
      </c>
      <c r="D206" s="1">
        <v>22.5205</v>
      </c>
      <c r="E206" s="1">
        <v>2011</v>
      </c>
      <c r="F206" s="1">
        <v>0.444801982314947</v>
      </c>
      <c r="G206" s="1">
        <v>7.5669551804416</v>
      </c>
      <c r="H206" s="1">
        <v>4.4320065669789</v>
      </c>
      <c r="I206" s="1">
        <v>4.51797697428571</v>
      </c>
      <c r="J206" s="1">
        <v>4.41594485287734</v>
      </c>
      <c r="K206" s="1">
        <v>4.12066187053947</v>
      </c>
      <c r="L206" s="1">
        <v>-0.1334591</v>
      </c>
      <c r="M206" s="1">
        <v>7.06961899387369</v>
      </c>
      <c r="N206" s="1">
        <v>2.8903718</v>
      </c>
      <c r="O206" s="1">
        <v>11.1564647837898</v>
      </c>
      <c r="P206" s="1">
        <v>83.1</v>
      </c>
      <c r="Q206" s="1">
        <v>90.65</v>
      </c>
      <c r="R206" s="1">
        <v>81.76</v>
      </c>
      <c r="S206" s="1">
        <v>60.6</v>
      </c>
      <c r="T206" s="1">
        <v>92.11</v>
      </c>
      <c r="U206" s="1">
        <v>1174.7</v>
      </c>
      <c r="V206" s="1">
        <v>17</v>
      </c>
      <c r="W206" s="1">
        <v>70014</v>
      </c>
      <c r="X206" s="1">
        <v>1.00709132348902</v>
      </c>
      <c r="Y206" s="1">
        <v>5.98</v>
      </c>
      <c r="Z206" s="1">
        <v>0.557700000022798</v>
      </c>
      <c r="AA206" s="1">
        <v>7.46492362994108</v>
      </c>
      <c r="AB206" s="1">
        <f t="shared" si="9"/>
        <v>2.01021520052236</v>
      </c>
      <c r="AC206" s="1">
        <v>2.03111195817433</v>
      </c>
      <c r="AD206" s="1">
        <v>0.0241128069011281</v>
      </c>
      <c r="AE206" s="1">
        <v>0.905058155261022</v>
      </c>
      <c r="AF206" s="1">
        <v>10</v>
      </c>
      <c r="AG206" s="1">
        <v>0.323082</v>
      </c>
      <c r="AH206" s="2">
        <v>4.53378</v>
      </c>
      <c r="AI206" s="1">
        <v>40.1069518716578</v>
      </c>
      <c r="AJ206" s="1">
        <v>2.16161323081387</v>
      </c>
      <c r="AK206" s="1">
        <v>2.2803872355683</v>
      </c>
      <c r="AL206" s="1">
        <v>4.18974577474791</v>
      </c>
      <c r="AM206" s="1">
        <v>4.30198228595529</v>
      </c>
      <c r="AN206" s="1">
        <v>463</v>
      </c>
      <c r="AO206" s="1">
        <v>0.07766275</v>
      </c>
      <c r="AP206" s="1">
        <v>0.04254409</v>
      </c>
      <c r="AQ206" s="1">
        <v>0.07027428</v>
      </c>
      <c r="AR206" s="1">
        <v>0.09160848</v>
      </c>
      <c r="AS206" s="1">
        <v>0.04325248</v>
      </c>
      <c r="AT206" s="1">
        <v>0.08423884</v>
      </c>
      <c r="AU206" s="1">
        <v>0.0218653</v>
      </c>
      <c r="AV206" s="1">
        <v>0.17243078</v>
      </c>
      <c r="AW206" s="1">
        <v>0.03419143</v>
      </c>
      <c r="AX206" s="1">
        <v>0.03744117</v>
      </c>
      <c r="AY206" s="1">
        <v>0.09223244</v>
      </c>
      <c r="AZ206" s="1">
        <v>1890</v>
      </c>
      <c r="BA206" s="1">
        <v>36.338</v>
      </c>
      <c r="BB206" s="1">
        <f t="shared" si="10"/>
        <v>7.54433210805369</v>
      </c>
      <c r="BC206" s="1">
        <v>0.000283</v>
      </c>
      <c r="BD206" s="1">
        <v>150.7</v>
      </c>
      <c r="BE206" s="1">
        <v>0.745198845863342</v>
      </c>
      <c r="BF206" s="1">
        <v>-113.86067</v>
      </c>
      <c r="BG206" s="1">
        <v>2.033681</v>
      </c>
      <c r="BH206" s="1">
        <v>2102.581414</v>
      </c>
      <c r="BI206" s="1">
        <f t="shared" si="11"/>
        <v>7.65092111357065</v>
      </c>
      <c r="BJ206" s="1">
        <v>8.797558333</v>
      </c>
      <c r="BK206" s="1">
        <v>34428.51</v>
      </c>
      <c r="BL206" s="1">
        <v>40.1069518716578</v>
      </c>
      <c r="BM206" s="1">
        <v>238954</v>
      </c>
      <c r="BN206" s="1">
        <v>1380000</v>
      </c>
      <c r="BO206" s="1">
        <v>0.1731</v>
      </c>
      <c r="BP206" s="1">
        <v>0.752865</v>
      </c>
      <c r="BQ206" s="1">
        <v>40.106952</v>
      </c>
      <c r="BR206" s="1">
        <v>28910</v>
      </c>
      <c r="BS206" s="3">
        <v>1500000</v>
      </c>
    </row>
    <row r="207" spans="1:71">
      <c r="A207" s="1" t="s">
        <v>88</v>
      </c>
      <c r="B207" s="1">
        <v>18</v>
      </c>
      <c r="C207" s="1">
        <v>113.384</v>
      </c>
      <c r="D207" s="1">
        <v>22.5205</v>
      </c>
      <c r="E207" s="1">
        <v>2012</v>
      </c>
      <c r="F207" s="1">
        <v>0.470871930610112</v>
      </c>
      <c r="G207" s="1">
        <v>7.41715214616135</v>
      </c>
      <c r="H207" s="1">
        <v>4.81995893291954</v>
      </c>
      <c r="I207" s="1">
        <v>4.87359298350106</v>
      </c>
      <c r="J207" s="1">
        <v>4.78197656209393</v>
      </c>
      <c r="K207" s="1">
        <v>4.69875159960962</v>
      </c>
      <c r="L207" s="1">
        <v>-0.1334591</v>
      </c>
      <c r="M207" s="1">
        <v>6.93385178370341</v>
      </c>
      <c r="N207" s="1">
        <v>3.218876</v>
      </c>
      <c r="O207" s="1">
        <v>11.2583944404143</v>
      </c>
      <c r="P207" s="1">
        <v>122.96</v>
      </c>
      <c r="Q207" s="1">
        <v>129.79</v>
      </c>
      <c r="R207" s="1">
        <v>118.34</v>
      </c>
      <c r="S207" s="1">
        <v>108.81</v>
      </c>
      <c r="T207" s="1">
        <v>122.79</v>
      </c>
      <c r="U207" s="1">
        <v>1025.44</v>
      </c>
      <c r="V207" s="1">
        <v>24</v>
      </c>
      <c r="W207" s="1">
        <v>77527</v>
      </c>
      <c r="X207" s="1">
        <v>0.86677002743873</v>
      </c>
      <c r="Y207" s="1">
        <v>4.61</v>
      </c>
      <c r="Z207" s="1">
        <v>0.5545</v>
      </c>
      <c r="AA207" s="1">
        <v>7.4778857408175</v>
      </c>
      <c r="AB207" s="1">
        <f t="shared" si="9"/>
        <v>2.01195009706102</v>
      </c>
      <c r="AC207" s="1">
        <v>2.0528788675268</v>
      </c>
      <c r="AD207" s="1">
        <v>0.0238986842105263</v>
      </c>
      <c r="AE207" s="1">
        <v>0.818546869117832</v>
      </c>
      <c r="AF207" s="1">
        <v>10</v>
      </c>
      <c r="AG207" s="1">
        <v>0.372416</v>
      </c>
      <c r="AH207" s="2">
        <v>4.81859</v>
      </c>
      <c r="AI207" s="1">
        <v>40.1069518716578</v>
      </c>
      <c r="AJ207" s="1">
        <v>2.16161323081387</v>
      </c>
      <c r="AK207" s="1">
        <v>2.2803872355683</v>
      </c>
      <c r="AL207" s="1">
        <v>4.18974577474791</v>
      </c>
      <c r="AM207" s="1">
        <v>4.30198228595529</v>
      </c>
      <c r="AN207" s="1">
        <v>463</v>
      </c>
      <c r="AO207" s="1">
        <v>0.07766275</v>
      </c>
      <c r="AP207" s="1">
        <v>0.04254409</v>
      </c>
      <c r="AQ207" s="1">
        <v>0.07027428</v>
      </c>
      <c r="AR207" s="1">
        <v>0.09160848</v>
      </c>
      <c r="AS207" s="1">
        <v>0.04325248</v>
      </c>
      <c r="AT207" s="1">
        <v>0.08423884</v>
      </c>
      <c r="AU207" s="1">
        <v>0.0218653</v>
      </c>
      <c r="AV207" s="1">
        <v>0.17243078</v>
      </c>
      <c r="AW207" s="1">
        <v>0.03419143</v>
      </c>
      <c r="AX207" s="1">
        <v>0.03744117</v>
      </c>
      <c r="AY207" s="1">
        <v>0.09223244</v>
      </c>
      <c r="AZ207" s="1">
        <v>2338</v>
      </c>
      <c r="BA207" s="1">
        <v>36.326</v>
      </c>
      <c r="BB207" s="1">
        <f t="shared" si="10"/>
        <v>7.75705114203201</v>
      </c>
      <c r="BC207" s="1">
        <v>0.000429</v>
      </c>
      <c r="BD207" s="1">
        <v>152</v>
      </c>
      <c r="BE207" s="1">
        <v>0.757439613342285</v>
      </c>
      <c r="BF207" s="1">
        <v>-26.114149</v>
      </c>
      <c r="BG207" s="1">
        <v>2.15736</v>
      </c>
      <c r="BH207" s="1">
        <v>2306.52438</v>
      </c>
      <c r="BI207" s="1">
        <f t="shared" si="11"/>
        <v>7.74349707306991</v>
      </c>
      <c r="BJ207" s="1">
        <v>8.797558333</v>
      </c>
      <c r="BK207" s="1">
        <v>38629.49</v>
      </c>
      <c r="BL207" s="1">
        <v>40.1069518716578</v>
      </c>
      <c r="BM207" s="1">
        <v>238954</v>
      </c>
      <c r="BN207" s="1">
        <v>1380000</v>
      </c>
      <c r="BO207" s="1">
        <v>0.1731</v>
      </c>
      <c r="BP207" s="1">
        <v>0.752865</v>
      </c>
      <c r="BQ207" s="1">
        <v>40.106952</v>
      </c>
      <c r="BR207" s="1">
        <v>28910</v>
      </c>
      <c r="BS207" s="3">
        <v>1500000</v>
      </c>
    </row>
    <row r="208" spans="1:71">
      <c r="A208" s="1" t="s">
        <v>88</v>
      </c>
      <c r="B208" s="1">
        <v>18</v>
      </c>
      <c r="C208" s="1">
        <v>113.384</v>
      </c>
      <c r="D208" s="1">
        <v>22.5205</v>
      </c>
      <c r="E208" s="1">
        <v>2013</v>
      </c>
      <c r="F208" s="1">
        <v>0.364927442500917</v>
      </c>
      <c r="G208" s="1">
        <v>7.41177175039803</v>
      </c>
      <c r="H208" s="1">
        <v>5.10065879674384</v>
      </c>
      <c r="I208" s="1">
        <v>5.083141984883</v>
      </c>
      <c r="J208" s="1">
        <v>5.08846015955956</v>
      </c>
      <c r="K208" s="1">
        <v>5.1768839262645</v>
      </c>
      <c r="L208" s="1">
        <v>-0.1334591</v>
      </c>
      <c r="M208" s="1">
        <v>5.93452375664517</v>
      </c>
      <c r="N208" s="1">
        <v>3.871201</v>
      </c>
      <c r="O208" s="1">
        <v>11.3313316433128</v>
      </c>
      <c r="P208" s="1">
        <v>163.13</v>
      </c>
      <c r="Q208" s="1">
        <v>160.28</v>
      </c>
      <c r="R208" s="1">
        <v>161.14</v>
      </c>
      <c r="S208" s="1">
        <v>176.13</v>
      </c>
      <c r="T208" s="1">
        <v>138.48</v>
      </c>
      <c r="U208" s="1">
        <v>376.86</v>
      </c>
      <c r="V208" s="1">
        <v>47</v>
      </c>
      <c r="W208" s="1">
        <v>83393</v>
      </c>
      <c r="X208" s="1">
        <v>0.836152614906471</v>
      </c>
      <c r="Y208" s="1">
        <v>5.55</v>
      </c>
      <c r="Z208" s="1">
        <v>0.554699999988632</v>
      </c>
      <c r="AA208" s="1">
        <v>7.48385836044608</v>
      </c>
      <c r="AB208" s="1">
        <f t="shared" si="9"/>
        <v>2.01274848258418</v>
      </c>
      <c r="AC208" s="1">
        <v>2.23497679687119</v>
      </c>
      <c r="AD208" s="1">
        <v>0.0250752757949384</v>
      </c>
      <c r="AE208" s="1">
        <v>0.740386202343621</v>
      </c>
      <c r="AF208" s="1">
        <v>8</v>
      </c>
      <c r="AG208" s="1">
        <v>0.390258</v>
      </c>
      <c r="AH208" s="2">
        <v>4.93792</v>
      </c>
      <c r="AI208" s="1">
        <v>40.1069518716578</v>
      </c>
      <c r="AJ208" s="1">
        <v>2.16161323081387</v>
      </c>
      <c r="AK208" s="1">
        <v>2.2803872355683</v>
      </c>
      <c r="AL208" s="1">
        <v>4.18974577474791</v>
      </c>
      <c r="AM208" s="1">
        <v>4.30198228595529</v>
      </c>
      <c r="AN208" s="1">
        <v>463</v>
      </c>
      <c r="AO208" s="1">
        <v>0.07766275</v>
      </c>
      <c r="AP208" s="1">
        <v>0.04254409</v>
      </c>
      <c r="AQ208" s="1">
        <v>0.07027428</v>
      </c>
      <c r="AR208" s="1">
        <v>0.09160848</v>
      </c>
      <c r="AS208" s="1">
        <v>0.04325248</v>
      </c>
      <c r="AT208" s="1">
        <v>0.08423884</v>
      </c>
      <c r="AU208" s="1">
        <v>0.0218653</v>
      </c>
      <c r="AV208" s="1">
        <v>0.17243078</v>
      </c>
      <c r="AW208" s="1">
        <v>0.03419143</v>
      </c>
      <c r="AX208" s="1">
        <v>0.03744117</v>
      </c>
      <c r="AY208" s="1">
        <v>0.09223244</v>
      </c>
      <c r="AZ208" s="1">
        <v>2752</v>
      </c>
      <c r="BA208" s="1">
        <v>38.6</v>
      </c>
      <c r="BB208" s="1">
        <f t="shared" si="10"/>
        <v>7.92008319905323</v>
      </c>
      <c r="BC208" s="1">
        <v>0.00106</v>
      </c>
      <c r="BD208" s="1">
        <v>154.1</v>
      </c>
      <c r="BE208" s="1">
        <v>0.757162749767303</v>
      </c>
      <c r="BF208" s="1">
        <v>-21.33108</v>
      </c>
      <c r="BG208" s="1">
        <v>3.483102</v>
      </c>
      <c r="BH208" s="1">
        <v>2470.05626287014</v>
      </c>
      <c r="BI208" s="1">
        <f t="shared" si="11"/>
        <v>7.81199620785253</v>
      </c>
      <c r="BJ208" s="1">
        <v>8.797558333</v>
      </c>
      <c r="BK208" s="1">
        <v>42461.57</v>
      </c>
      <c r="BL208" s="1">
        <v>40.1069518716578</v>
      </c>
      <c r="BM208" s="1">
        <v>238954</v>
      </c>
      <c r="BN208" s="1">
        <v>1380000</v>
      </c>
      <c r="BO208" s="1">
        <v>0.1731</v>
      </c>
      <c r="BP208" s="1">
        <v>0.752865</v>
      </c>
      <c r="BQ208" s="1">
        <v>40.106952</v>
      </c>
      <c r="BR208" s="1">
        <v>28910</v>
      </c>
      <c r="BS208" s="3">
        <v>1500000</v>
      </c>
    </row>
    <row r="209" spans="1:71">
      <c r="A209" s="1" t="s">
        <v>88</v>
      </c>
      <c r="B209" s="1">
        <v>18</v>
      </c>
      <c r="C209" s="1">
        <v>113.384</v>
      </c>
      <c r="D209" s="1">
        <v>22.5205</v>
      </c>
      <c r="E209" s="1">
        <v>2014</v>
      </c>
      <c r="F209" s="1">
        <v>0.372447147244837</v>
      </c>
      <c r="G209" s="1">
        <v>7.49801798374376</v>
      </c>
      <c r="H209" s="1">
        <v>5.14446664172977</v>
      </c>
      <c r="I209" s="1">
        <v>5.25697440301365</v>
      </c>
      <c r="J209" s="1">
        <v>5.00226704442573</v>
      </c>
      <c r="K209" s="1">
        <v>4.97921342408791</v>
      </c>
      <c r="L209" s="1">
        <v>-0.1334591</v>
      </c>
      <c r="M209" s="1">
        <v>7.36927300457757</v>
      </c>
      <c r="N209" s="1">
        <v>3.1354942</v>
      </c>
      <c r="O209" s="1">
        <v>11.3928234926573</v>
      </c>
      <c r="P209" s="1">
        <v>170.48</v>
      </c>
      <c r="Q209" s="1">
        <v>190.9</v>
      </c>
      <c r="R209" s="1">
        <v>147.75</v>
      </c>
      <c r="S209" s="1">
        <v>144.36</v>
      </c>
      <c r="T209" s="1">
        <v>155.45</v>
      </c>
      <c r="U209" s="1">
        <v>1585.48</v>
      </c>
      <c r="V209" s="1">
        <v>22</v>
      </c>
      <c r="W209" s="1">
        <v>88682</v>
      </c>
      <c r="X209" s="1">
        <v>0.804117765351548</v>
      </c>
      <c r="Y209" s="1">
        <v>9.04</v>
      </c>
      <c r="Z209" s="1">
        <v>0.552899999996458</v>
      </c>
      <c r="AA209" s="1">
        <v>7.48976419861515</v>
      </c>
      <c r="AB209" s="1">
        <f t="shared" si="9"/>
        <v>2.01353731487269</v>
      </c>
      <c r="AC209" s="1">
        <v>2.25963585140369</v>
      </c>
      <c r="AD209" s="1">
        <v>0.0256015374759769</v>
      </c>
      <c r="AE209" s="1">
        <v>0.853806632414759</v>
      </c>
      <c r="AF209" s="1">
        <v>22</v>
      </c>
      <c r="AG209" s="1">
        <v>0.360672</v>
      </c>
      <c r="AH209" s="2">
        <v>5.05274</v>
      </c>
      <c r="AI209" s="1">
        <v>40.1069518716578</v>
      </c>
      <c r="AJ209" s="1">
        <v>2.16161323081387</v>
      </c>
      <c r="AK209" s="1">
        <v>2.2803872355683</v>
      </c>
      <c r="AL209" s="1">
        <v>4.18974577474791</v>
      </c>
      <c r="AM209" s="1">
        <v>4.30198228595529</v>
      </c>
      <c r="AN209" s="1">
        <v>463</v>
      </c>
      <c r="AO209" s="1">
        <v>0.07766275</v>
      </c>
      <c r="AP209" s="1">
        <v>0.04254409</v>
      </c>
      <c r="AQ209" s="1">
        <v>0.07027428</v>
      </c>
      <c r="AR209" s="1">
        <v>0.09160848</v>
      </c>
      <c r="AS209" s="1">
        <v>0.04325248</v>
      </c>
      <c r="AT209" s="1">
        <v>0.08423884</v>
      </c>
      <c r="AU209" s="1">
        <v>0.0218653</v>
      </c>
      <c r="AV209" s="1">
        <v>0.17243078</v>
      </c>
      <c r="AW209" s="1">
        <v>0.03419143</v>
      </c>
      <c r="AX209" s="1">
        <v>0.03744117</v>
      </c>
      <c r="AY209" s="1">
        <v>0.09223244</v>
      </c>
      <c r="AZ209" s="1">
        <v>2980</v>
      </c>
      <c r="BA209" s="1">
        <v>39.964</v>
      </c>
      <c r="BB209" s="1">
        <f t="shared" si="10"/>
        <v>7.99967857949945</v>
      </c>
      <c r="BC209" s="1">
        <v>0.00111</v>
      </c>
      <c r="BD209" s="1">
        <v>387.48</v>
      </c>
      <c r="BE209" s="1">
        <v>0.765779972076416</v>
      </c>
      <c r="BF209" s="1">
        <v>-35.18256</v>
      </c>
      <c r="BG209" s="1">
        <v>6.62377</v>
      </c>
      <c r="BH209" s="1">
        <v>2580.58791821219</v>
      </c>
      <c r="BI209" s="1">
        <f t="shared" si="11"/>
        <v>7.85577252723208</v>
      </c>
      <c r="BJ209" s="1">
        <v>8.797558333</v>
      </c>
      <c r="BK209" s="1">
        <v>46495.42</v>
      </c>
      <c r="BL209" s="1">
        <v>40.1069518716578</v>
      </c>
      <c r="BM209" s="1">
        <v>238954</v>
      </c>
      <c r="BN209" s="1">
        <v>1380000</v>
      </c>
      <c r="BO209" s="1">
        <v>0.1731</v>
      </c>
      <c r="BP209" s="1">
        <v>0.752865</v>
      </c>
      <c r="BQ209" s="1">
        <v>40.106952</v>
      </c>
      <c r="BR209" s="1">
        <v>28910</v>
      </c>
      <c r="BS209" s="3">
        <v>1500000</v>
      </c>
    </row>
    <row r="210" spans="1:71">
      <c r="A210" s="1" t="s">
        <v>88</v>
      </c>
      <c r="B210" s="1">
        <v>18</v>
      </c>
      <c r="C210" s="1">
        <v>113.384</v>
      </c>
      <c r="D210" s="1">
        <v>22.5205</v>
      </c>
      <c r="E210" s="1">
        <v>2015</v>
      </c>
      <c r="F210" s="1">
        <v>0.397252384448702</v>
      </c>
      <c r="G210" s="1">
        <v>7.50252810319014</v>
      </c>
      <c r="H210" s="1">
        <v>5.31537112111386</v>
      </c>
      <c r="I210" s="1">
        <v>5.36466674708957</v>
      </c>
      <c r="J210" s="1">
        <v>5.13597489206939</v>
      </c>
      <c r="K210" s="1">
        <v>5.43907880925627</v>
      </c>
      <c r="L210" s="1">
        <v>-0.1334591</v>
      </c>
      <c r="M210" s="1">
        <v>6.96462698505867</v>
      </c>
      <c r="N210" s="1">
        <v>3.713572</v>
      </c>
      <c r="O210" s="1">
        <v>11.4513797941183</v>
      </c>
      <c r="P210" s="1">
        <v>202.44</v>
      </c>
      <c r="Q210" s="1">
        <v>212.72</v>
      </c>
      <c r="R210" s="1">
        <v>169.03</v>
      </c>
      <c r="S210" s="1">
        <v>229.23</v>
      </c>
      <c r="T210" s="1">
        <v>149.91</v>
      </c>
      <c r="U210" s="1">
        <v>1057.52</v>
      </c>
      <c r="V210" s="1">
        <v>40</v>
      </c>
      <c r="W210" s="1">
        <v>94030</v>
      </c>
      <c r="X210" s="1">
        <v>0.733994409229986</v>
      </c>
      <c r="Y210" s="1">
        <v>11.84</v>
      </c>
      <c r="Z210" s="1">
        <v>0.542399999986711</v>
      </c>
      <c r="AA210" s="1">
        <v>7.70756257877972</v>
      </c>
      <c r="AB210" s="1">
        <f t="shared" si="9"/>
        <v>2.04220199995114</v>
      </c>
      <c r="AC210" s="1">
        <v>2.29715216373404</v>
      </c>
      <c r="AD210" s="1">
        <v>0.0251770859591631</v>
      </c>
      <c r="AE210" s="1">
        <v>0.698182373606232</v>
      </c>
      <c r="AF210" s="1">
        <v>32</v>
      </c>
      <c r="AG210" s="1">
        <v>0.41356</v>
      </c>
      <c r="AH210" s="2">
        <v>5.01668</v>
      </c>
      <c r="AI210" s="1">
        <v>40.1069518716578</v>
      </c>
      <c r="AJ210" s="1">
        <v>2.16161323081387</v>
      </c>
      <c r="AK210" s="1">
        <v>2.2803872355683</v>
      </c>
      <c r="AL210" s="1">
        <v>4.18974577474791</v>
      </c>
      <c r="AM210" s="1">
        <v>4.30198228595529</v>
      </c>
      <c r="AN210" s="1">
        <v>463</v>
      </c>
      <c r="AO210" s="1">
        <v>0.07766275</v>
      </c>
      <c r="AP210" s="1">
        <v>0.04254409</v>
      </c>
      <c r="AQ210" s="1">
        <v>0.07027428</v>
      </c>
      <c r="AR210" s="1">
        <v>0.09160848</v>
      </c>
      <c r="AS210" s="1">
        <v>0.04325248</v>
      </c>
      <c r="AT210" s="1">
        <v>0.08423884</v>
      </c>
      <c r="AU210" s="1">
        <v>0.0218653</v>
      </c>
      <c r="AV210" s="1">
        <v>0.17243078</v>
      </c>
      <c r="AW210" s="1">
        <v>0.03419143</v>
      </c>
      <c r="AX210" s="1">
        <v>0.03744117</v>
      </c>
      <c r="AY210" s="1">
        <v>0.09223244</v>
      </c>
      <c r="AZ210" s="1">
        <v>4267</v>
      </c>
      <c r="BA210" s="1">
        <v>39.951</v>
      </c>
      <c r="BB210" s="1">
        <f t="shared" si="10"/>
        <v>8.358666283188</v>
      </c>
      <c r="BC210" s="1">
        <v>0.00098</v>
      </c>
      <c r="BD210" s="1">
        <v>396.96</v>
      </c>
      <c r="BE210" s="1">
        <v>0.748501598834991</v>
      </c>
      <c r="BF210" s="1">
        <v>-28.34962</v>
      </c>
      <c r="BG210" s="1">
        <v>7.487316</v>
      </c>
      <c r="BH210" s="1">
        <v>2711.36252145886</v>
      </c>
      <c r="BI210" s="1">
        <f t="shared" si="11"/>
        <v>7.90520656297059</v>
      </c>
      <c r="BJ210" s="1">
        <v>8.797558333</v>
      </c>
      <c r="BK210" s="1">
        <v>48842.1</v>
      </c>
      <c r="BL210" s="1">
        <v>40.1069518716578</v>
      </c>
      <c r="BM210" s="1">
        <v>238954</v>
      </c>
      <c r="BN210" s="1">
        <v>1380000</v>
      </c>
      <c r="BO210" s="1">
        <v>0.1731</v>
      </c>
      <c r="BP210" s="1">
        <v>0.752865</v>
      </c>
      <c r="BQ210" s="1">
        <v>40.106952</v>
      </c>
      <c r="BR210" s="1">
        <v>28910</v>
      </c>
      <c r="BS210" s="3">
        <v>1500000</v>
      </c>
    </row>
    <row r="211" spans="1:71">
      <c r="A211" s="1" t="s">
        <v>88</v>
      </c>
      <c r="B211" s="1">
        <v>18</v>
      </c>
      <c r="C211" s="1">
        <v>113.384</v>
      </c>
      <c r="D211" s="1">
        <v>22.5205</v>
      </c>
      <c r="E211" s="1">
        <v>2016</v>
      </c>
      <c r="F211" s="1">
        <v>0.399211041441141</v>
      </c>
      <c r="G211" s="1">
        <v>7.52604371994068</v>
      </c>
      <c r="H211" s="1">
        <v>5.40185855528382</v>
      </c>
      <c r="I211" s="1">
        <v>5.4179605364149</v>
      </c>
      <c r="J211" s="1">
        <v>5.37851247383893</v>
      </c>
      <c r="K211" s="1">
        <v>5.39018491410648</v>
      </c>
      <c r="L211" s="1">
        <v>-0.1334591</v>
      </c>
      <c r="M211" s="1">
        <v>8.41656811252522</v>
      </c>
      <c r="N211" s="1">
        <v>4.317488</v>
      </c>
      <c r="O211" s="1">
        <v>11.5076314765091</v>
      </c>
      <c r="P211" s="1">
        <v>220.818294864599</v>
      </c>
      <c r="Q211" s="1">
        <v>224.418919715408</v>
      </c>
      <c r="R211" s="1">
        <v>215.699689142798</v>
      </c>
      <c r="S211" s="1">
        <v>218.243923076261</v>
      </c>
      <c r="T211" s="1">
        <v>152.41</v>
      </c>
      <c r="U211" s="1">
        <v>4520.36</v>
      </c>
      <c r="V211" s="1">
        <v>74</v>
      </c>
      <c r="W211" s="1">
        <v>99471</v>
      </c>
      <c r="X211" s="1">
        <v>0.698301911652946</v>
      </c>
      <c r="Y211" s="1">
        <v>3.01</v>
      </c>
      <c r="Z211" s="1">
        <v>0.5237</v>
      </c>
      <c r="AA211" s="1">
        <v>7.73423414052153</v>
      </c>
      <c r="AB211" s="1">
        <f t="shared" si="9"/>
        <v>2.04565646690859</v>
      </c>
      <c r="AC211" s="1">
        <v>2.62212560470941</v>
      </c>
      <c r="AD211" s="1">
        <v>0.0302242236024845</v>
      </c>
      <c r="AE211" s="1">
        <v>0.897297297297297</v>
      </c>
      <c r="AF211" s="1">
        <v>35</v>
      </c>
      <c r="AG211" s="1">
        <v>0.370008</v>
      </c>
      <c r="AH211" s="2">
        <v>5.03311</v>
      </c>
      <c r="AI211" s="1">
        <v>40.1069518716578</v>
      </c>
      <c r="AJ211" s="1">
        <v>2.16161323081387</v>
      </c>
      <c r="AK211" s="1">
        <v>2.2803872355683</v>
      </c>
      <c r="AL211" s="1">
        <v>4.18974577474791</v>
      </c>
      <c r="AM211" s="1">
        <v>4.30198228595529</v>
      </c>
      <c r="AN211" s="1">
        <v>463</v>
      </c>
      <c r="AO211" s="1">
        <v>0.07766275</v>
      </c>
      <c r="AP211" s="1">
        <v>0.04254409</v>
      </c>
      <c r="AQ211" s="1">
        <v>0.07027428</v>
      </c>
      <c r="AR211" s="1">
        <v>0.09160848</v>
      </c>
      <c r="AS211" s="1">
        <v>0.04325248</v>
      </c>
      <c r="AT211" s="1">
        <v>0.08423884</v>
      </c>
      <c r="AU211" s="1">
        <v>0.0218653</v>
      </c>
      <c r="AV211" s="1">
        <v>0.17243078</v>
      </c>
      <c r="AW211" s="1">
        <v>0.03419143</v>
      </c>
      <c r="AX211" s="1">
        <v>0.03744117</v>
      </c>
      <c r="AY211" s="1">
        <v>0.09223244</v>
      </c>
      <c r="AZ211" s="1">
        <v>6660</v>
      </c>
      <c r="BA211" s="1">
        <v>48.661</v>
      </c>
      <c r="BB211" s="1">
        <f t="shared" si="10"/>
        <v>8.80387476353443</v>
      </c>
      <c r="BC211" s="1">
        <v>0.000907</v>
      </c>
      <c r="BD211" s="1">
        <v>407.69</v>
      </c>
      <c r="BE211" s="1">
        <v>0.800486445426941</v>
      </c>
      <c r="BF211" s="1">
        <v>49.02942</v>
      </c>
      <c r="BG211" s="1">
        <v>4.3932</v>
      </c>
      <c r="BH211" s="1">
        <v>2830.43015028413</v>
      </c>
      <c r="BI211" s="1">
        <f t="shared" si="11"/>
        <v>7.94818397565381</v>
      </c>
      <c r="BJ211" s="1">
        <v>8.797558333</v>
      </c>
      <c r="BK211" s="1">
        <v>51816.67</v>
      </c>
      <c r="BL211" s="1">
        <v>40.1069518716578</v>
      </c>
      <c r="BM211" s="1">
        <v>238954</v>
      </c>
      <c r="BN211" s="1">
        <v>1380000</v>
      </c>
      <c r="BO211" s="1">
        <v>0.1731</v>
      </c>
      <c r="BP211" s="1">
        <v>0.752865</v>
      </c>
      <c r="BQ211" s="1">
        <v>40.106952</v>
      </c>
      <c r="BR211" s="1">
        <v>28910</v>
      </c>
      <c r="BS211" s="3">
        <v>1500000</v>
      </c>
    </row>
    <row r="212" spans="1:71">
      <c r="A212" s="1" t="s">
        <v>88</v>
      </c>
      <c r="B212" s="1">
        <v>18</v>
      </c>
      <c r="C212" s="1">
        <v>113.384</v>
      </c>
      <c r="D212" s="1">
        <v>22.5205</v>
      </c>
      <c r="E212" s="1">
        <v>2017</v>
      </c>
      <c r="F212" s="1">
        <v>0.405854423403089</v>
      </c>
      <c r="G212" s="1">
        <v>7.27155892225786</v>
      </c>
      <c r="H212" s="1">
        <v>5.53601368795739</v>
      </c>
      <c r="I212" s="1">
        <v>5.50831535957449</v>
      </c>
      <c r="J212" s="1">
        <v>5.59693985678284</v>
      </c>
      <c r="K212" s="1">
        <v>5.51183435321514</v>
      </c>
      <c r="L212" s="1">
        <v>-0.1334591</v>
      </c>
      <c r="M212" s="1">
        <v>8.67724698496157</v>
      </c>
      <c r="N212" s="1">
        <v>4.465908</v>
      </c>
      <c r="O212" s="1">
        <v>11.5684710739393</v>
      </c>
      <c r="P212" s="1">
        <v>252.664794288505</v>
      </c>
      <c r="Q212" s="1">
        <v>245.735116772066</v>
      </c>
      <c r="R212" s="1">
        <v>268.600128797546</v>
      </c>
      <c r="S212" s="1">
        <v>246.604905638304</v>
      </c>
      <c r="T212" s="1">
        <v>155.54</v>
      </c>
      <c r="U212" s="1">
        <v>5866.87</v>
      </c>
      <c r="V212" s="1">
        <v>86</v>
      </c>
      <c r="W212" s="1">
        <v>105710.723</v>
      </c>
      <c r="X212" s="1">
        <v>0.752559780987916</v>
      </c>
      <c r="Y212" s="1">
        <v>15.43</v>
      </c>
      <c r="Z212" s="4">
        <v>0.505</v>
      </c>
      <c r="AA212" s="1">
        <v>7.75930418056253</v>
      </c>
      <c r="AB212" s="1">
        <f t="shared" si="9"/>
        <v>2.04889266272148</v>
      </c>
      <c r="AC212" s="1">
        <v>2.66701449692783</v>
      </c>
      <c r="AD212" s="1">
        <v>0.0315358823529412</v>
      </c>
      <c r="AE212" s="1">
        <v>0.78281068524971</v>
      </c>
      <c r="AF212" s="1">
        <v>86</v>
      </c>
      <c r="AG212" s="1">
        <v>0.413956</v>
      </c>
      <c r="AH212" s="2">
        <v>5.05331</v>
      </c>
      <c r="AI212" s="1">
        <v>40.1069518716578</v>
      </c>
      <c r="AJ212" s="1">
        <v>2.16161323081387</v>
      </c>
      <c r="AK212" s="1">
        <v>2.2803872355683</v>
      </c>
      <c r="AL212" s="1">
        <v>4.18974577474791</v>
      </c>
      <c r="AM212" s="1">
        <v>4.30198228595529</v>
      </c>
      <c r="AN212" s="1">
        <v>463</v>
      </c>
      <c r="AO212" s="1">
        <v>0.07766275</v>
      </c>
      <c r="AP212" s="1">
        <v>0.04254409</v>
      </c>
      <c r="AQ212" s="1">
        <v>0.07027428</v>
      </c>
      <c r="AR212" s="1">
        <v>0.09160848</v>
      </c>
      <c r="AS212" s="1">
        <v>0.04325248</v>
      </c>
      <c r="AT212" s="1">
        <v>0.08423884</v>
      </c>
      <c r="AU212" s="1">
        <v>0.0218653</v>
      </c>
      <c r="AV212" s="1">
        <v>0.17243078</v>
      </c>
      <c r="AW212" s="1">
        <v>0.03419143</v>
      </c>
      <c r="AX212" s="1">
        <v>0.03744117</v>
      </c>
      <c r="AY212" s="1">
        <v>0.09223244</v>
      </c>
      <c r="AZ212" s="1">
        <v>9420</v>
      </c>
      <c r="BA212" s="1">
        <v>53.611</v>
      </c>
      <c r="BB212" s="1">
        <f t="shared" si="10"/>
        <v>9.15059036757041</v>
      </c>
      <c r="BC212" s="1">
        <v>0.00128</v>
      </c>
      <c r="BD212" s="1">
        <v>418.04</v>
      </c>
      <c r="BE212" s="1">
        <v>0.90631228685379</v>
      </c>
      <c r="BF212" s="1">
        <v>287.34868</v>
      </c>
      <c r="BG212" s="1">
        <v>6.583193</v>
      </c>
      <c r="BH212" s="1">
        <v>2939.52276483433</v>
      </c>
      <c r="BI212" s="1">
        <f t="shared" si="11"/>
        <v>7.98600252227033</v>
      </c>
      <c r="BJ212" s="1">
        <v>8.797558333</v>
      </c>
      <c r="BK212" s="1">
        <v>55053.24</v>
      </c>
      <c r="BL212" s="1">
        <v>40.1069518716578</v>
      </c>
      <c r="BM212" s="1">
        <v>238954</v>
      </c>
      <c r="BN212" s="1">
        <v>1380000</v>
      </c>
      <c r="BO212" s="1">
        <v>0.1731</v>
      </c>
      <c r="BP212" s="1">
        <v>0.752865</v>
      </c>
      <c r="BQ212" s="1">
        <v>40.106952</v>
      </c>
      <c r="BR212" s="1">
        <v>28910</v>
      </c>
      <c r="BS212" s="3">
        <v>1500000</v>
      </c>
    </row>
    <row r="213" spans="1:71">
      <c r="A213" s="1" t="s">
        <v>88</v>
      </c>
      <c r="B213" s="1">
        <v>18</v>
      </c>
      <c r="C213" s="1">
        <v>113.384</v>
      </c>
      <c r="D213" s="1">
        <v>22.5205</v>
      </c>
      <c r="E213" s="1">
        <v>2018</v>
      </c>
      <c r="F213" s="1">
        <v>0.415001894498625</v>
      </c>
      <c r="G213" s="1">
        <v>7.31243374576913</v>
      </c>
      <c r="H213" s="1">
        <v>5.59392773917862</v>
      </c>
      <c r="I213" s="1">
        <v>5.5804699731418</v>
      </c>
      <c r="J213" s="1">
        <v>5.56872313092774</v>
      </c>
      <c r="K213" s="1">
        <v>5.67958142884374</v>
      </c>
      <c r="L213" s="1">
        <v>-0.1334591</v>
      </c>
      <c r="M213" s="1">
        <v>8.21613674609765</v>
      </c>
      <c r="N213" s="1">
        <v>4.59512</v>
      </c>
      <c r="O213" s="1">
        <v>11.6135487777796</v>
      </c>
      <c r="P213" s="1">
        <v>267.789283257937</v>
      </c>
      <c r="Q213" s="1">
        <v>264.196211571522</v>
      </c>
      <c r="R213" s="1">
        <v>261.099219054246</v>
      </c>
      <c r="S213" s="1">
        <v>291.826835402512</v>
      </c>
      <c r="T213" s="1">
        <v>153.27</v>
      </c>
      <c r="U213" s="1">
        <v>3699.18</v>
      </c>
      <c r="V213" s="1">
        <v>98</v>
      </c>
      <c r="W213" s="1">
        <v>110585</v>
      </c>
      <c r="X213" s="1">
        <v>0.644666133161017</v>
      </c>
      <c r="Y213" s="1">
        <v>2.88</v>
      </c>
      <c r="Z213" s="1">
        <v>0.490099999991742</v>
      </c>
      <c r="AA213" s="1">
        <v>7.78476430929617</v>
      </c>
      <c r="AB213" s="1">
        <f t="shared" si="9"/>
        <v>2.05216852984965</v>
      </c>
      <c r="AC213" s="1">
        <v>2.74365527933717</v>
      </c>
      <c r="AD213" s="1">
        <v>0.0322011299435028</v>
      </c>
      <c r="AE213" s="1">
        <v>0.831567567567568</v>
      </c>
      <c r="AF213" s="1">
        <v>77</v>
      </c>
      <c r="AG213" s="1">
        <v>0.382888</v>
      </c>
      <c r="AH213" s="2">
        <v>5.0387</v>
      </c>
      <c r="AI213" s="1">
        <v>40.1069518716578</v>
      </c>
      <c r="AJ213" s="1">
        <v>2.16161323081387</v>
      </c>
      <c r="AK213" s="1">
        <v>2.2803872355683</v>
      </c>
      <c r="AL213" s="1">
        <v>4.18974577474791</v>
      </c>
      <c r="AM213" s="1">
        <v>4.30198228595529</v>
      </c>
      <c r="AN213" s="1">
        <v>463</v>
      </c>
      <c r="AO213" s="1">
        <v>0.07766275</v>
      </c>
      <c r="AP213" s="1">
        <v>0.04254409</v>
      </c>
      <c r="AQ213" s="1">
        <v>0.07027428</v>
      </c>
      <c r="AR213" s="1">
        <v>0.09160848</v>
      </c>
      <c r="AS213" s="1">
        <v>0.04325248</v>
      </c>
      <c r="AT213" s="1">
        <v>0.08423884</v>
      </c>
      <c r="AU213" s="1">
        <v>0.0218653</v>
      </c>
      <c r="AV213" s="1">
        <v>0.17243078</v>
      </c>
      <c r="AW213" s="1">
        <v>0.03419143</v>
      </c>
      <c r="AX213" s="1">
        <v>0.03744117</v>
      </c>
      <c r="AY213" s="1">
        <v>0.09223244</v>
      </c>
      <c r="AZ213" s="1">
        <v>9485</v>
      </c>
      <c r="BA213" s="1">
        <v>57</v>
      </c>
      <c r="BB213" s="1">
        <f t="shared" si="10"/>
        <v>9.15746688236912</v>
      </c>
      <c r="BC213" s="1">
        <v>0.000905</v>
      </c>
      <c r="BD213" s="1">
        <v>428.82</v>
      </c>
      <c r="BE213" s="1">
        <v>0.94280081987381</v>
      </c>
      <c r="BF213" s="1">
        <v>15.83963</v>
      </c>
      <c r="BG213" s="1">
        <v>5.463023</v>
      </c>
      <c r="BH213" s="1">
        <v>3053.7303</v>
      </c>
      <c r="BI213" s="1">
        <f t="shared" si="11"/>
        <v>8.02411917146641</v>
      </c>
      <c r="BJ213" s="1">
        <v>8.797558333</v>
      </c>
      <c r="BK213" s="1">
        <v>58119.66</v>
      </c>
      <c r="BL213" s="1">
        <v>40.1069518716578</v>
      </c>
      <c r="BM213" s="1">
        <v>238954</v>
      </c>
      <c r="BN213" s="1">
        <v>1380000</v>
      </c>
      <c r="BO213" s="1">
        <v>0.1731</v>
      </c>
      <c r="BP213" s="1">
        <v>0.752865</v>
      </c>
      <c r="BQ213" s="1">
        <v>40.106952</v>
      </c>
      <c r="BR213" s="1">
        <v>28910</v>
      </c>
      <c r="BS213" s="3">
        <v>1500000</v>
      </c>
    </row>
    <row r="214" spans="1:71">
      <c r="A214" s="1" t="s">
        <v>88</v>
      </c>
      <c r="B214" s="1">
        <v>18</v>
      </c>
      <c r="C214" s="1">
        <v>113.384</v>
      </c>
      <c r="D214" s="1">
        <v>22.5205</v>
      </c>
      <c r="E214" s="1">
        <v>2019</v>
      </c>
      <c r="F214" s="1">
        <v>0.337550380351312</v>
      </c>
      <c r="G214" s="1">
        <v>7.2361382793459</v>
      </c>
      <c r="H214" s="1">
        <v>5.64573183266377</v>
      </c>
      <c r="I214" s="1">
        <v>5.63842086429583</v>
      </c>
      <c r="J214" s="1">
        <v>5.60841629218375</v>
      </c>
      <c r="K214" s="1">
        <v>5.73252614314835</v>
      </c>
      <c r="L214" s="1">
        <v>-0.1334591</v>
      </c>
      <c r="M214" s="1">
        <v>6.38443525763445</v>
      </c>
      <c r="N214" s="1">
        <v>4.3694477</v>
      </c>
      <c r="O214" s="1">
        <v>11.4372264129507</v>
      </c>
      <c r="P214" s="1">
        <v>282.080648088477</v>
      </c>
      <c r="Q214" s="1">
        <v>280.018601416414</v>
      </c>
      <c r="R214" s="1">
        <v>271.711999721339</v>
      </c>
      <c r="S214" s="1">
        <v>307.748226293705</v>
      </c>
      <c r="T214" s="1">
        <v>101.72</v>
      </c>
      <c r="U214" s="1">
        <v>591.55</v>
      </c>
      <c r="V214" s="1">
        <v>78</v>
      </c>
      <c r="W214" s="1">
        <v>92708.5172</v>
      </c>
      <c r="X214" s="1">
        <v>0.769789713562598</v>
      </c>
      <c r="Y214" s="1">
        <v>12.27</v>
      </c>
      <c r="Z214" s="1">
        <v>0.4908</v>
      </c>
      <c r="AA214" s="1">
        <v>7.80761124853174</v>
      </c>
      <c r="AB214" s="1">
        <f t="shared" si="9"/>
        <v>2.05509905900496</v>
      </c>
      <c r="AC214" s="1">
        <v>3.48574713765268</v>
      </c>
      <c r="AD214" s="1">
        <v>0.0290262295081967</v>
      </c>
      <c r="AE214" s="1">
        <v>0.828345373237014</v>
      </c>
      <c r="AF214" s="1">
        <v>27</v>
      </c>
      <c r="AG214" s="1">
        <v>0.426894</v>
      </c>
      <c r="AH214" s="2">
        <v>4.63201</v>
      </c>
      <c r="AI214" s="1">
        <v>40.1069518716578</v>
      </c>
      <c r="AJ214" s="1">
        <v>2.16161323081387</v>
      </c>
      <c r="AK214" s="1">
        <v>2.2803872355683</v>
      </c>
      <c r="AL214" s="1">
        <v>4.18974577474791</v>
      </c>
      <c r="AM214" s="1">
        <v>4.30198228595529</v>
      </c>
      <c r="AN214" s="1">
        <v>463</v>
      </c>
      <c r="AO214" s="1">
        <v>0.07766275</v>
      </c>
      <c r="AP214" s="1">
        <v>0.04254409</v>
      </c>
      <c r="AQ214" s="1">
        <v>0.07027428</v>
      </c>
      <c r="AR214" s="1">
        <v>0.09160848</v>
      </c>
      <c r="AS214" s="1">
        <v>0.04325248</v>
      </c>
      <c r="AT214" s="1">
        <v>0.08423884</v>
      </c>
      <c r="AU214" s="1">
        <v>0.0218653</v>
      </c>
      <c r="AV214" s="1">
        <v>0.17243078</v>
      </c>
      <c r="AW214" s="1">
        <v>0.03419143</v>
      </c>
      <c r="AX214" s="1">
        <v>0.03744117</v>
      </c>
      <c r="AY214" s="1">
        <v>0.09223244</v>
      </c>
      <c r="AZ214" s="1">
        <v>7855</v>
      </c>
      <c r="BA214" s="1">
        <v>53.118</v>
      </c>
      <c r="BB214" s="1">
        <f t="shared" si="10"/>
        <v>8.96890555068972</v>
      </c>
      <c r="BC214" s="1">
        <v>0.00024</v>
      </c>
      <c r="BD214" s="1">
        <v>438.73</v>
      </c>
      <c r="BE214" s="1">
        <v>0.967257857322693</v>
      </c>
      <c r="BF214" s="1">
        <v>-2.790882</v>
      </c>
      <c r="BG214" s="1">
        <v>5.424629</v>
      </c>
      <c r="BH214" s="1">
        <v>3123.78725130954</v>
      </c>
      <c r="BI214" s="1">
        <f t="shared" si="11"/>
        <v>8.04680140726719</v>
      </c>
      <c r="BJ214" s="1">
        <v>8.797558333</v>
      </c>
      <c r="BK214" s="1">
        <v>62375.6</v>
      </c>
      <c r="BL214" s="1">
        <v>40.1069518716578</v>
      </c>
      <c r="BM214" s="1">
        <v>238954</v>
      </c>
      <c r="BN214" s="1">
        <v>1380000</v>
      </c>
      <c r="BO214" s="1">
        <v>0.1731</v>
      </c>
      <c r="BP214" s="1">
        <v>0.752865</v>
      </c>
      <c r="BQ214" s="1">
        <v>40.106952</v>
      </c>
      <c r="BR214" s="1">
        <v>28910</v>
      </c>
      <c r="BS214" s="3">
        <v>1500000</v>
      </c>
    </row>
    <row r="215" spans="1:71">
      <c r="A215" s="1" t="s">
        <v>88</v>
      </c>
      <c r="B215" s="1">
        <v>18</v>
      </c>
      <c r="C215" s="1">
        <v>113.384</v>
      </c>
      <c r="D215" s="1">
        <v>22.5205</v>
      </c>
      <c r="E215" s="1">
        <v>2020</v>
      </c>
      <c r="F215" s="1">
        <v>0.338646352325894</v>
      </c>
      <c r="G215" s="1">
        <v>7.31801739701851</v>
      </c>
      <c r="H215" s="1">
        <v>5.68261917788903</v>
      </c>
      <c r="I215" s="1">
        <v>5.68629793813034</v>
      </c>
      <c r="J215" s="1">
        <v>5.64770307423654</v>
      </c>
      <c r="K215" s="1">
        <v>5.73164226481448</v>
      </c>
      <c r="L215" s="1">
        <v>-0.1334591</v>
      </c>
      <c r="M215" s="1">
        <v>6.70388725528716</v>
      </c>
      <c r="N215" s="1">
        <v>4.0943446</v>
      </c>
      <c r="O215" s="1">
        <v>11.1771537273422</v>
      </c>
      <c r="P215" s="1">
        <v>292.717722320144</v>
      </c>
      <c r="Q215" s="1">
        <v>293.800229262587</v>
      </c>
      <c r="R215" s="1">
        <v>282.639218766063</v>
      </c>
      <c r="S215" s="1">
        <v>307.475451003481</v>
      </c>
      <c r="T215" s="1">
        <v>94.44</v>
      </c>
      <c r="U215" s="1">
        <v>814.57</v>
      </c>
      <c r="V215" s="1">
        <v>59</v>
      </c>
      <c r="W215" s="1">
        <v>71477.6246</v>
      </c>
      <c r="X215" s="1">
        <v>0.700967009873171</v>
      </c>
      <c r="Y215" s="1">
        <v>20.24</v>
      </c>
      <c r="Z215" s="1">
        <v>0.494</v>
      </c>
      <c r="AA215" s="1">
        <v>7.81754510505603</v>
      </c>
      <c r="AB215" s="1">
        <f t="shared" si="9"/>
        <v>2.05637058008774</v>
      </c>
      <c r="AC215" s="1">
        <v>3.83489639551625</v>
      </c>
      <c r="AD215" s="1">
        <v>0.0294151832460733</v>
      </c>
      <c r="AE215" s="1">
        <v>0.616438356164384</v>
      </c>
      <c r="AF215" s="1">
        <v>30</v>
      </c>
      <c r="AG215" s="1">
        <v>0.4708</v>
      </c>
      <c r="AH215" s="2">
        <v>4.5585</v>
      </c>
      <c r="AI215" s="1">
        <v>40.1069518716578</v>
      </c>
      <c r="AJ215" s="1">
        <v>2.16161323081387</v>
      </c>
      <c r="AK215" s="1">
        <v>2.2803872355683</v>
      </c>
      <c r="AL215" s="1">
        <v>4.18974577474791</v>
      </c>
      <c r="AM215" s="1">
        <v>4.30198228595529</v>
      </c>
      <c r="AN215" s="1">
        <v>463</v>
      </c>
      <c r="AO215" s="1">
        <v>0.07766275</v>
      </c>
      <c r="AP215" s="1">
        <v>0.04254409</v>
      </c>
      <c r="AQ215" s="1">
        <v>0.07027428</v>
      </c>
      <c r="AR215" s="1">
        <v>0.09160848</v>
      </c>
      <c r="AS215" s="1">
        <v>0.04325248</v>
      </c>
      <c r="AT215" s="1">
        <v>0.08423884</v>
      </c>
      <c r="AU215" s="1">
        <v>0.0218653</v>
      </c>
      <c r="AV215" s="1">
        <v>0.17243078</v>
      </c>
      <c r="AW215" s="1">
        <v>0.03419143</v>
      </c>
      <c r="AX215" s="1">
        <v>0.03744117</v>
      </c>
      <c r="AY215" s="1">
        <v>0.09223244</v>
      </c>
      <c r="AZ215" s="1">
        <v>8295</v>
      </c>
      <c r="BA215" s="1">
        <v>56.183</v>
      </c>
      <c r="BB215" s="1">
        <f t="shared" si="10"/>
        <v>9.02340820262454</v>
      </c>
      <c r="BC215" s="1">
        <v>0.000442</v>
      </c>
      <c r="BD215" s="1">
        <v>443.11</v>
      </c>
      <c r="BE215" s="1">
        <v>0.978465020656586</v>
      </c>
      <c r="BF215" s="1">
        <v>28.57674</v>
      </c>
      <c r="BG215" s="1">
        <v>2.681441</v>
      </c>
      <c r="BH215" s="1">
        <v>3151.5914</v>
      </c>
      <c r="BI215" s="1">
        <f t="shared" si="11"/>
        <v>8.05566281059512</v>
      </c>
      <c r="BJ215" s="1">
        <v>8.797558333</v>
      </c>
      <c r="BK215" s="1">
        <v>64294.65</v>
      </c>
      <c r="BL215" s="1">
        <v>40.1069518716578</v>
      </c>
      <c r="BM215" s="1">
        <v>238954</v>
      </c>
      <c r="BN215" s="1">
        <v>1380000</v>
      </c>
      <c r="BO215" s="1">
        <v>0.1731</v>
      </c>
      <c r="BP215" s="1">
        <v>0.752865</v>
      </c>
      <c r="BQ215" s="1">
        <v>40.106952</v>
      </c>
      <c r="BR215" s="1">
        <v>28910</v>
      </c>
      <c r="BS215" s="3">
        <v>1500000</v>
      </c>
    </row>
    <row r="216" spans="1:71">
      <c r="A216" s="1" t="s">
        <v>88</v>
      </c>
      <c r="B216" s="1">
        <v>18</v>
      </c>
      <c r="C216" s="1">
        <v>113.384</v>
      </c>
      <c r="D216" s="1">
        <v>22.5205</v>
      </c>
      <c r="E216" s="1">
        <v>2021</v>
      </c>
      <c r="F216" s="1">
        <v>0.36064133285216</v>
      </c>
      <c r="G216" s="1">
        <v>7.31145480469994</v>
      </c>
      <c r="H216" s="1">
        <v>5.76254244866557</v>
      </c>
      <c r="I216" s="1">
        <v>5.7906174282508</v>
      </c>
      <c r="J216" s="1">
        <v>5.72015711841894</v>
      </c>
      <c r="K216" s="1">
        <v>5.74382406425973</v>
      </c>
      <c r="L216" s="1">
        <v>-0.1334591</v>
      </c>
      <c r="M216" s="1">
        <v>7.62026871713304</v>
      </c>
      <c r="N216" s="1">
        <v>4.75359</v>
      </c>
      <c r="O216" s="1">
        <v>11.1437384939201</v>
      </c>
      <c r="P216" s="1">
        <v>317.15619729399</v>
      </c>
      <c r="Q216" s="1">
        <v>326.214993790167</v>
      </c>
      <c r="R216" s="1">
        <v>303.952832880207</v>
      </c>
      <c r="S216" s="1">
        <v>311.256218594857</v>
      </c>
      <c r="T216" s="1">
        <v>88.21</v>
      </c>
      <c r="U216" s="1">
        <v>2038.11</v>
      </c>
      <c r="V216" s="1">
        <v>115</v>
      </c>
      <c r="W216" s="1">
        <v>69128.6146</v>
      </c>
      <c r="X216" s="1">
        <v>0.755698961938687</v>
      </c>
      <c r="Y216" s="1">
        <v>9.76</v>
      </c>
      <c r="Z216" s="1">
        <v>0.4941</v>
      </c>
      <c r="AA216" s="1">
        <v>7.82559190055465</v>
      </c>
      <c r="AB216" s="1">
        <f t="shared" si="9"/>
        <v>2.05739937580889</v>
      </c>
      <c r="AC216" s="1">
        <v>3.67666542256714</v>
      </c>
      <c r="AD216" s="1">
        <v>0.0290306532663317</v>
      </c>
      <c r="AE216" s="1">
        <v>0.728602066679665</v>
      </c>
      <c r="AF216" s="1">
        <v>85</v>
      </c>
      <c r="AG216" s="1">
        <v>0.418528</v>
      </c>
      <c r="AH216" s="2">
        <v>4.49099</v>
      </c>
      <c r="AI216" s="1">
        <v>40.1069518716578</v>
      </c>
      <c r="AJ216" s="1">
        <v>2.16161323081387</v>
      </c>
      <c r="AK216" s="1">
        <v>2.2803872355683</v>
      </c>
      <c r="AL216" s="1">
        <v>4.18974577474791</v>
      </c>
      <c r="AM216" s="1">
        <v>4.30198228595529</v>
      </c>
      <c r="AN216" s="1">
        <v>463</v>
      </c>
      <c r="AO216" s="1">
        <v>0.07766275</v>
      </c>
      <c r="AP216" s="1">
        <v>0.04254409</v>
      </c>
      <c r="AQ216" s="1">
        <v>0.07027428</v>
      </c>
      <c r="AR216" s="1">
        <v>0.09160848</v>
      </c>
      <c r="AS216" s="1">
        <v>0.04325248</v>
      </c>
      <c r="AT216" s="1">
        <v>0.08423884</v>
      </c>
      <c r="AU216" s="1">
        <v>0.0218653</v>
      </c>
      <c r="AV216" s="1">
        <v>0.17243078</v>
      </c>
      <c r="AW216" s="1">
        <v>0.03419143</v>
      </c>
      <c r="AX216" s="1">
        <v>0.03744117</v>
      </c>
      <c r="AY216" s="1">
        <v>0.09223244</v>
      </c>
      <c r="AZ216" s="1">
        <v>7842</v>
      </c>
      <c r="BA216" s="1">
        <v>54.35</v>
      </c>
      <c r="BB216" s="1">
        <f t="shared" si="10"/>
        <v>8.96724918285228</v>
      </c>
      <c r="BC216" s="1">
        <v>0.000669</v>
      </c>
      <c r="BD216" s="1">
        <v>446.69</v>
      </c>
      <c r="BE216" s="1">
        <v>0.972643196582794</v>
      </c>
      <c r="BF216" s="1">
        <v>2960.316926</v>
      </c>
      <c r="BG216" s="1">
        <v>1.605969</v>
      </c>
      <c r="BH216" s="1">
        <v>3566.167</v>
      </c>
      <c r="BI216" s="1">
        <f t="shared" si="11"/>
        <v>8.17924662850994</v>
      </c>
      <c r="BJ216" s="1">
        <v>8.797558333</v>
      </c>
      <c r="BK216" s="1">
        <v>74457.57</v>
      </c>
      <c r="BL216" s="1">
        <v>40.1069518716578</v>
      </c>
      <c r="BM216" s="1">
        <v>238954</v>
      </c>
      <c r="BN216" s="1">
        <v>1380000</v>
      </c>
      <c r="BO216" s="1">
        <v>0.1731</v>
      </c>
      <c r="BP216" s="1">
        <v>0.752865</v>
      </c>
      <c r="BQ216" s="1">
        <v>40.106952</v>
      </c>
      <c r="BR216" s="1">
        <v>28910</v>
      </c>
      <c r="BS216" s="3">
        <v>1500000</v>
      </c>
    </row>
    <row r="217" spans="1:71">
      <c r="A217" s="1" t="s">
        <v>88</v>
      </c>
      <c r="B217" s="1">
        <v>18</v>
      </c>
      <c r="C217" s="1">
        <v>113.384</v>
      </c>
      <c r="D217" s="1">
        <v>22.5205</v>
      </c>
      <c r="E217" s="1">
        <v>2022</v>
      </c>
      <c r="F217" s="1">
        <v>0.356989679448665</v>
      </c>
      <c r="G217" s="1">
        <v>6.889691265884</v>
      </c>
      <c r="H217" s="1">
        <v>5.78066766476756</v>
      </c>
      <c r="I217" s="1">
        <v>5.85596850954612</v>
      </c>
      <c r="J217" s="1">
        <v>5.63297206745143</v>
      </c>
      <c r="K217" s="1">
        <v>5.7719551056601</v>
      </c>
      <c r="L217" s="1">
        <v>-0.1334591</v>
      </c>
      <c r="M217" s="1">
        <v>8.00158280557806</v>
      </c>
      <c r="N217" s="1">
        <v>4.934474</v>
      </c>
      <c r="O217" s="1">
        <v>11.3098418607837</v>
      </c>
      <c r="P217" s="1">
        <v>322.975425225825</v>
      </c>
      <c r="Q217" s="1">
        <v>348.313049327307</v>
      </c>
      <c r="R217" s="1">
        <v>278.491552210028</v>
      </c>
      <c r="S217" s="1">
        <v>320.165030804227</v>
      </c>
      <c r="T217" s="1">
        <v>80.0143</v>
      </c>
      <c r="U217" s="1">
        <v>2984.68</v>
      </c>
      <c r="V217" s="1">
        <v>138</v>
      </c>
      <c r="W217" s="1">
        <v>81620</v>
      </c>
      <c r="X217" s="1">
        <v>0.770720454676325</v>
      </c>
      <c r="Y217" s="1">
        <v>9.95</v>
      </c>
      <c r="Z217" s="1">
        <v>0.4944</v>
      </c>
      <c r="AA217" s="1">
        <v>7.81754510505603</v>
      </c>
      <c r="AB217" s="1">
        <f t="shared" si="9"/>
        <v>2.05637058008774</v>
      </c>
      <c r="AC217" s="1">
        <v>4.00388116832816</v>
      </c>
      <c r="AD217" s="1">
        <v>0.0278894230769231</v>
      </c>
      <c r="AE217" s="1">
        <v>0.880829015544041</v>
      </c>
      <c r="AF217" s="1">
        <v>46</v>
      </c>
      <c r="AG217" s="1">
        <v>0.48174</v>
      </c>
      <c r="AH217" s="2">
        <v>4.39463</v>
      </c>
      <c r="AI217" s="1">
        <v>40.1069518716578</v>
      </c>
      <c r="AJ217" s="1">
        <v>2.16161323081387</v>
      </c>
      <c r="AK217" s="1">
        <v>2.2803872355683</v>
      </c>
      <c r="AL217" s="1">
        <v>4.18974577474791</v>
      </c>
      <c r="AM217" s="1">
        <v>4.30198228595529</v>
      </c>
      <c r="AN217" s="1">
        <v>463</v>
      </c>
      <c r="AO217" s="1">
        <v>0.07766275</v>
      </c>
      <c r="AP217" s="1">
        <v>0.04254409</v>
      </c>
      <c r="AQ217" s="1">
        <v>0.07027428</v>
      </c>
      <c r="AR217" s="1">
        <v>0.09160848</v>
      </c>
      <c r="AS217" s="1">
        <v>0.04325248</v>
      </c>
      <c r="AT217" s="1">
        <v>0.08423884</v>
      </c>
      <c r="AU217" s="1">
        <v>0.0218653</v>
      </c>
      <c r="AV217" s="1">
        <v>0.17243078</v>
      </c>
      <c r="AW217" s="1">
        <v>0.03419143</v>
      </c>
      <c r="AX217" s="1">
        <v>0.03744117</v>
      </c>
      <c r="AY217" s="1">
        <v>0.09223244</v>
      </c>
      <c r="AZ217" s="1">
        <v>7945</v>
      </c>
      <c r="BA217" s="1">
        <v>58.01</v>
      </c>
      <c r="BB217" s="1">
        <f t="shared" si="10"/>
        <v>8.98029807897082</v>
      </c>
      <c r="BC217" s="1">
        <v>0.000375</v>
      </c>
      <c r="BD217" s="1">
        <v>443.11</v>
      </c>
      <c r="BE217" s="1">
        <v>0.973028826068793</v>
      </c>
      <c r="BF217" s="1">
        <v>216688.57154</v>
      </c>
      <c r="BG217" s="1">
        <v>0.635496</v>
      </c>
      <c r="BH217" s="1">
        <v>3631.28</v>
      </c>
      <c r="BI217" s="1">
        <f t="shared" si="11"/>
        <v>8.19734048218399</v>
      </c>
      <c r="BJ217" s="1">
        <v>8.797558333</v>
      </c>
      <c r="BK217" s="1">
        <v>77691.88</v>
      </c>
      <c r="BL217" s="1">
        <v>40.1069518716578</v>
      </c>
      <c r="BM217" s="1">
        <v>238954</v>
      </c>
      <c r="BN217" s="1">
        <v>1380000</v>
      </c>
      <c r="BO217" s="1">
        <v>0.1731</v>
      </c>
      <c r="BP217" s="1">
        <v>0.752865</v>
      </c>
      <c r="BQ217" s="1">
        <v>40.106952</v>
      </c>
      <c r="BR217" s="1">
        <v>28910</v>
      </c>
      <c r="BS217" s="3">
        <v>1500000</v>
      </c>
    </row>
    <row r="218" spans="1:71">
      <c r="A218" s="1" t="s">
        <v>89</v>
      </c>
      <c r="B218" s="1">
        <v>19</v>
      </c>
      <c r="C218" s="1">
        <v>116.773</v>
      </c>
      <c r="D218" s="1">
        <v>23.7959</v>
      </c>
      <c r="E218" s="1">
        <v>2011</v>
      </c>
      <c r="F218" s="1">
        <v>0.388915301688024</v>
      </c>
      <c r="G218" s="1">
        <v>6.68539525275696</v>
      </c>
      <c r="H218" s="1">
        <v>4.11202074723504</v>
      </c>
      <c r="I218" s="1">
        <v>3.83837646525984</v>
      </c>
      <c r="J218" s="1">
        <v>4.38265143944272</v>
      </c>
      <c r="K218" s="1">
        <v>4.31521887409226</v>
      </c>
      <c r="L218" s="1">
        <v>-0.646885</v>
      </c>
      <c r="M218" s="1">
        <v>3.89995042419387</v>
      </c>
      <c r="N218" s="1">
        <v>0.6931472</v>
      </c>
      <c r="O218" s="1">
        <v>10.0928674736975</v>
      </c>
      <c r="P218" s="1">
        <v>60.07</v>
      </c>
      <c r="Q218" s="1">
        <v>45.45</v>
      </c>
      <c r="R218" s="1">
        <v>79.05</v>
      </c>
      <c r="S218" s="1">
        <v>73.83</v>
      </c>
      <c r="T218" s="1">
        <v>22.8</v>
      </c>
      <c r="U218" s="1">
        <v>48.4</v>
      </c>
      <c r="V218" s="1">
        <v>1</v>
      </c>
      <c r="W218" s="1">
        <v>24169</v>
      </c>
      <c r="X218" s="1">
        <v>0.417244283588115</v>
      </c>
      <c r="Y218" s="1">
        <v>5.1</v>
      </c>
      <c r="Z218" s="1">
        <v>0.545299999938197</v>
      </c>
      <c r="AA218" s="1">
        <v>6.74881991373594</v>
      </c>
      <c r="AB218" s="1">
        <f t="shared" si="9"/>
        <v>1.90936766200564</v>
      </c>
      <c r="AC218" s="1">
        <v>1.47975469734407</v>
      </c>
      <c r="AD218" s="1">
        <v>0.00673706240487062</v>
      </c>
      <c r="AE218" s="1">
        <v>0.775163251519928</v>
      </c>
      <c r="AF218" s="1">
        <v>6</v>
      </c>
      <c r="AG218" s="1">
        <v>0.360096</v>
      </c>
      <c r="AH218" s="2">
        <v>3.16969</v>
      </c>
      <c r="AI218" s="1">
        <v>37.4127036913868</v>
      </c>
      <c r="AJ218" s="1">
        <v>0.345381526104418</v>
      </c>
      <c r="AK218" s="1">
        <v>0.332545374414039</v>
      </c>
      <c r="AL218" s="1">
        <v>0.299496845299896</v>
      </c>
      <c r="AM218" s="1">
        <v>0.377418457748997</v>
      </c>
      <c r="AN218" s="1">
        <v>184</v>
      </c>
      <c r="AO218" s="1">
        <v>0.02190091</v>
      </c>
      <c r="AP218" s="1">
        <v>0.05501916</v>
      </c>
      <c r="AQ218" s="1">
        <v>0.02562835</v>
      </c>
      <c r="AR218" s="1">
        <v>0.02406577</v>
      </c>
      <c r="AS218" s="1">
        <v>0.0543899</v>
      </c>
      <c r="AT218" s="1">
        <v>0.02782811</v>
      </c>
      <c r="AU218" s="1">
        <v>0.11860631</v>
      </c>
      <c r="AV218" s="1">
        <v>0.02269867</v>
      </c>
      <c r="AW218" s="1">
        <v>0.04501671</v>
      </c>
      <c r="AX218" s="1">
        <v>0.03140897</v>
      </c>
      <c r="AY218" s="1">
        <v>0.0219657</v>
      </c>
      <c r="AZ218" s="1">
        <v>201</v>
      </c>
      <c r="BA218" s="1">
        <v>17.705</v>
      </c>
      <c r="BB218" s="1">
        <f t="shared" si="10"/>
        <v>5.30330490805908</v>
      </c>
      <c r="BC218" s="1">
        <v>0</v>
      </c>
      <c r="BD218" s="1">
        <v>262.8</v>
      </c>
      <c r="BE218" s="1">
        <v>0.703652262687683</v>
      </c>
      <c r="BF218" s="1">
        <v>-2994.763912</v>
      </c>
      <c r="BG218" s="1">
        <v>1.60711</v>
      </c>
      <c r="BH218" s="1">
        <v>643.553843</v>
      </c>
      <c r="BI218" s="1">
        <f t="shared" si="11"/>
        <v>6.46700569564154</v>
      </c>
      <c r="BJ218" s="1">
        <v>3.688441667</v>
      </c>
      <c r="BK218" s="1">
        <v>12200.5</v>
      </c>
      <c r="BL218" s="1">
        <v>37.4127036913868</v>
      </c>
      <c r="BM218" s="1">
        <v>178562</v>
      </c>
      <c r="BN218" s="1">
        <v>2470000</v>
      </c>
      <c r="BO218" s="1">
        <v>0.0723</v>
      </c>
      <c r="BP218" s="1">
        <v>0.266794</v>
      </c>
      <c r="BQ218" s="1">
        <v>37.412704</v>
      </c>
      <c r="BR218" s="1">
        <v>10244.9</v>
      </c>
      <c r="BS218" s="3">
        <v>1400000</v>
      </c>
    </row>
    <row r="219" spans="1:71">
      <c r="A219" s="1" t="s">
        <v>89</v>
      </c>
      <c r="B219" s="1">
        <v>19</v>
      </c>
      <c r="C219" s="1">
        <v>116.773</v>
      </c>
      <c r="D219" s="1">
        <v>23.7959</v>
      </c>
      <c r="E219" s="1">
        <v>2012</v>
      </c>
      <c r="F219" s="1">
        <v>0.438553634193659</v>
      </c>
      <c r="G219" s="1">
        <v>6.67022613986666</v>
      </c>
      <c r="H219" s="1">
        <v>4.60906260070343</v>
      </c>
      <c r="I219" s="1">
        <v>4.44170963683505</v>
      </c>
      <c r="J219" s="1">
        <v>4.76941262938214</v>
      </c>
      <c r="K219" s="1">
        <v>4.78548974011137</v>
      </c>
      <c r="L219" s="1">
        <v>-0.646885</v>
      </c>
      <c r="M219" s="1">
        <v>0</v>
      </c>
      <c r="N219" s="1">
        <v>1.0986123</v>
      </c>
      <c r="O219" s="1">
        <v>10.1755355472039</v>
      </c>
      <c r="P219" s="1">
        <v>99.39</v>
      </c>
      <c r="Q219" s="1">
        <v>83.92</v>
      </c>
      <c r="R219" s="1">
        <v>116.85</v>
      </c>
      <c r="S219" s="1">
        <v>118.76</v>
      </c>
      <c r="T219" s="1">
        <v>28.48</v>
      </c>
      <c r="U219" s="1">
        <v>0</v>
      </c>
      <c r="V219" s="1">
        <v>2</v>
      </c>
      <c r="W219" s="1">
        <v>26252</v>
      </c>
      <c r="X219" s="1">
        <v>0.377960727196275</v>
      </c>
      <c r="Y219" s="1">
        <v>7.94</v>
      </c>
      <c r="Z219" s="1">
        <v>0.550099999957546</v>
      </c>
      <c r="AA219" s="1">
        <v>6.75487524735633</v>
      </c>
      <c r="AB219" s="1">
        <f t="shared" si="9"/>
        <v>1.91026450304863</v>
      </c>
      <c r="AC219" s="1">
        <v>1.55756004031957</v>
      </c>
      <c r="AD219" s="1">
        <v>0.00668164652567976</v>
      </c>
      <c r="AE219" s="1">
        <v>0.936997666580244</v>
      </c>
      <c r="AF219" s="1">
        <v>0</v>
      </c>
      <c r="AG219" s="1">
        <v>0.352384</v>
      </c>
      <c r="AH219" s="2">
        <v>3.38371</v>
      </c>
      <c r="AI219" s="1">
        <v>37.4127036913868</v>
      </c>
      <c r="AJ219" s="1">
        <v>0.345381526104418</v>
      </c>
      <c r="AK219" s="1">
        <v>0.332545374414039</v>
      </c>
      <c r="AL219" s="1">
        <v>0.299496845299896</v>
      </c>
      <c r="AM219" s="1">
        <v>0.377418457748997</v>
      </c>
      <c r="AN219" s="1">
        <v>184</v>
      </c>
      <c r="AO219" s="1">
        <v>0.02190091</v>
      </c>
      <c r="AP219" s="1">
        <v>0.05501916</v>
      </c>
      <c r="AQ219" s="1">
        <v>0.02562835</v>
      </c>
      <c r="AR219" s="1">
        <v>0.02406577</v>
      </c>
      <c r="AS219" s="1">
        <v>0.0543899</v>
      </c>
      <c r="AT219" s="1">
        <v>0.02782811</v>
      </c>
      <c r="AU219" s="1">
        <v>0.11860631</v>
      </c>
      <c r="AV219" s="1">
        <v>0.02269867</v>
      </c>
      <c r="AW219" s="1">
        <v>0.04501671</v>
      </c>
      <c r="AX219" s="1">
        <v>0.03140897</v>
      </c>
      <c r="AY219" s="1">
        <v>0.0219657</v>
      </c>
      <c r="AZ219" s="1">
        <v>207</v>
      </c>
      <c r="BA219" s="1">
        <v>17.693</v>
      </c>
      <c r="BB219" s="1">
        <f t="shared" si="10"/>
        <v>5.33271879326537</v>
      </c>
      <c r="BC219" s="1">
        <v>0</v>
      </c>
      <c r="BD219" s="1">
        <v>264.8</v>
      </c>
      <c r="BE219" s="1">
        <v>0.690607905387878</v>
      </c>
      <c r="BF219" s="1">
        <v>-1682.941717</v>
      </c>
      <c r="BG219" s="1">
        <v>1.404424</v>
      </c>
      <c r="BH219" s="1">
        <v>699.43708</v>
      </c>
      <c r="BI219" s="1">
        <f t="shared" si="11"/>
        <v>6.55027584009554</v>
      </c>
      <c r="BJ219" s="1">
        <v>3.688441667</v>
      </c>
      <c r="BK219" s="1">
        <v>13689.21</v>
      </c>
      <c r="BL219" s="1">
        <v>37.4127036913868</v>
      </c>
      <c r="BM219" s="1">
        <v>178562</v>
      </c>
      <c r="BN219" s="1">
        <v>2470000</v>
      </c>
      <c r="BO219" s="1">
        <v>0.0723</v>
      </c>
      <c r="BP219" s="1">
        <v>0.266794</v>
      </c>
      <c r="BQ219" s="1">
        <v>37.412704</v>
      </c>
      <c r="BR219" s="1">
        <v>10244.9</v>
      </c>
      <c r="BS219" s="3">
        <v>1400000</v>
      </c>
    </row>
    <row r="220" spans="1:71">
      <c r="A220" s="1" t="s">
        <v>89</v>
      </c>
      <c r="B220" s="1">
        <v>19</v>
      </c>
      <c r="C220" s="1">
        <v>116.773</v>
      </c>
      <c r="D220" s="1">
        <v>23.7959</v>
      </c>
      <c r="E220" s="1">
        <v>2013</v>
      </c>
      <c r="F220" s="1">
        <v>0.353699317444292</v>
      </c>
      <c r="G220" s="1">
        <v>6.63658762758396</v>
      </c>
      <c r="H220" s="1">
        <v>4.95222904320786</v>
      </c>
      <c r="I220" s="1">
        <v>4.75427960857593</v>
      </c>
      <c r="J220" s="1">
        <v>5.11535560486665</v>
      </c>
      <c r="K220" s="1">
        <v>5.19195635055662</v>
      </c>
      <c r="L220" s="1">
        <v>-0.646885</v>
      </c>
      <c r="M220" s="1">
        <v>7.33539275335544</v>
      </c>
      <c r="N220" s="1">
        <v>0</v>
      </c>
      <c r="O220" s="1">
        <v>10.2694492408665</v>
      </c>
      <c r="P220" s="1">
        <v>140.49</v>
      </c>
      <c r="Q220" s="1">
        <v>115.08</v>
      </c>
      <c r="R220" s="1">
        <v>165.56</v>
      </c>
      <c r="S220" s="1">
        <v>178.82</v>
      </c>
      <c r="T220" s="1">
        <v>31.62</v>
      </c>
      <c r="U220" s="1">
        <v>1532.63</v>
      </c>
      <c r="V220" s="1">
        <v>0</v>
      </c>
      <c r="W220" s="1">
        <v>28837</v>
      </c>
      <c r="X220" s="1">
        <v>0.31089321570803</v>
      </c>
      <c r="Y220" s="1">
        <v>5.42</v>
      </c>
      <c r="Z220" s="1">
        <v>0.55860000002563</v>
      </c>
      <c r="AA220" s="1">
        <v>6.75934671690074</v>
      </c>
      <c r="AB220" s="1">
        <f t="shared" si="9"/>
        <v>1.91092624587325</v>
      </c>
      <c r="AC220" s="1">
        <v>1.56694081558824</v>
      </c>
      <c r="AD220" s="1">
        <v>0.00614782934131737</v>
      </c>
      <c r="AE220" s="1">
        <v>0.82979797979798</v>
      </c>
      <c r="AF220" s="1">
        <v>7</v>
      </c>
      <c r="AG220" s="1">
        <v>0.388674</v>
      </c>
      <c r="AH220" s="2">
        <v>3.48493</v>
      </c>
      <c r="AI220" s="1">
        <v>37.4127036913868</v>
      </c>
      <c r="AJ220" s="1">
        <v>0.345381526104418</v>
      </c>
      <c r="AK220" s="1">
        <v>0.332545374414039</v>
      </c>
      <c r="AL220" s="1">
        <v>0.299496845299896</v>
      </c>
      <c r="AM220" s="1">
        <v>0.377418457748997</v>
      </c>
      <c r="AN220" s="1">
        <v>184</v>
      </c>
      <c r="AO220" s="1">
        <v>0.02190091</v>
      </c>
      <c r="AP220" s="1">
        <v>0.05501916</v>
      </c>
      <c r="AQ220" s="1">
        <v>0.02562835</v>
      </c>
      <c r="AR220" s="1">
        <v>0.02406577</v>
      </c>
      <c r="AS220" s="1">
        <v>0.0543899</v>
      </c>
      <c r="AT220" s="1">
        <v>0.02782811</v>
      </c>
      <c r="AU220" s="1">
        <v>0.11860631</v>
      </c>
      <c r="AV220" s="1">
        <v>0.02269867</v>
      </c>
      <c r="AW220" s="1">
        <v>0.04501671</v>
      </c>
      <c r="AX220" s="1">
        <v>0.03140897</v>
      </c>
      <c r="AY220" s="1">
        <v>0.0219657</v>
      </c>
      <c r="AZ220" s="1">
        <v>185</v>
      </c>
      <c r="BA220" s="1">
        <v>16.427</v>
      </c>
      <c r="BB220" s="1">
        <f t="shared" si="10"/>
        <v>5.22035582507832</v>
      </c>
      <c r="BC220" s="1">
        <v>0.000386</v>
      </c>
      <c r="BD220" s="1">
        <v>267.2</v>
      </c>
      <c r="BE220" s="1">
        <v>0.66416609287262</v>
      </c>
      <c r="BF220" s="1">
        <v>-2819.16004</v>
      </c>
      <c r="BG220" s="1">
        <v>0.057779</v>
      </c>
      <c r="BH220" s="1">
        <v>772.27610150278</v>
      </c>
      <c r="BI220" s="1">
        <f t="shared" si="11"/>
        <v>6.6493421305189</v>
      </c>
      <c r="BJ220" s="1">
        <v>3.688441667</v>
      </c>
      <c r="BK220" s="1">
        <v>15047.19</v>
      </c>
      <c r="BL220" s="1">
        <v>37.4127036913868</v>
      </c>
      <c r="BM220" s="1">
        <v>178562</v>
      </c>
      <c r="BN220" s="1">
        <v>2470000</v>
      </c>
      <c r="BO220" s="1">
        <v>0.0723</v>
      </c>
      <c r="BP220" s="1">
        <v>0.266794</v>
      </c>
      <c r="BQ220" s="1">
        <v>37.412704</v>
      </c>
      <c r="BR220" s="1">
        <v>10244.9</v>
      </c>
      <c r="BS220" s="3">
        <v>1400000</v>
      </c>
    </row>
    <row r="221" spans="1:71">
      <c r="A221" s="1" t="s">
        <v>89</v>
      </c>
      <c r="B221" s="1">
        <v>19</v>
      </c>
      <c r="C221" s="1">
        <v>116.773</v>
      </c>
      <c r="D221" s="1">
        <v>23.7959</v>
      </c>
      <c r="E221" s="1">
        <v>2014</v>
      </c>
      <c r="F221" s="1">
        <v>0.338930061262444</v>
      </c>
      <c r="G221" s="1">
        <v>6.65862092250259</v>
      </c>
      <c r="H221" s="1">
        <v>4.98661578825203</v>
      </c>
      <c r="I221" s="1">
        <v>4.98995628288785</v>
      </c>
      <c r="J221" s="1">
        <v>4.96130498407431</v>
      </c>
      <c r="K221" s="1">
        <v>5.02032156368567</v>
      </c>
      <c r="L221" s="1">
        <v>-0.646885</v>
      </c>
      <c r="M221" s="1">
        <v>4.92143971529178</v>
      </c>
      <c r="N221" s="1">
        <v>0</v>
      </c>
      <c r="O221" s="1">
        <v>10.3514692185806</v>
      </c>
      <c r="P221" s="1">
        <v>145.44</v>
      </c>
      <c r="Q221" s="1">
        <v>145.93</v>
      </c>
      <c r="R221" s="1">
        <v>141.78</v>
      </c>
      <c r="S221" s="1">
        <v>150.46</v>
      </c>
      <c r="T221" s="1">
        <v>35.71</v>
      </c>
      <c r="U221" s="1">
        <v>136.2</v>
      </c>
      <c r="V221" s="1">
        <v>0</v>
      </c>
      <c r="W221" s="1">
        <v>31302</v>
      </c>
      <c r="X221" s="1">
        <v>0.247182849443345</v>
      </c>
      <c r="Y221" s="1">
        <v>10.68</v>
      </c>
      <c r="Z221" s="1">
        <v>0.548299999952953</v>
      </c>
      <c r="AA221" s="1">
        <v>6.7624024026654</v>
      </c>
      <c r="AB221" s="1">
        <f t="shared" si="9"/>
        <v>1.91137821193025</v>
      </c>
      <c r="AC221" s="1">
        <v>1.6013512019466</v>
      </c>
      <c r="AD221" s="1">
        <v>0.00640252976190476</v>
      </c>
      <c r="AE221" s="1">
        <v>0.765550947867299</v>
      </c>
      <c r="AF221" s="1">
        <v>11</v>
      </c>
      <c r="AG221" s="1">
        <v>0.357</v>
      </c>
      <c r="AH221" s="2">
        <v>3.60305</v>
      </c>
      <c r="AI221" s="1">
        <v>37.4127036913868</v>
      </c>
      <c r="AJ221" s="1">
        <v>0.345381526104418</v>
      </c>
      <c r="AK221" s="1">
        <v>0.332545374414039</v>
      </c>
      <c r="AL221" s="1">
        <v>0.299496845299896</v>
      </c>
      <c r="AM221" s="1">
        <v>0.377418457748997</v>
      </c>
      <c r="AN221" s="1">
        <v>184</v>
      </c>
      <c r="AO221" s="1">
        <v>0.02190091</v>
      </c>
      <c r="AP221" s="1">
        <v>0.05501916</v>
      </c>
      <c r="AQ221" s="1">
        <v>0.02562835</v>
      </c>
      <c r="AR221" s="1">
        <v>0.02406577</v>
      </c>
      <c r="AS221" s="1">
        <v>0.0543899</v>
      </c>
      <c r="AT221" s="1">
        <v>0.02782811</v>
      </c>
      <c r="AU221" s="1">
        <v>0.11860631</v>
      </c>
      <c r="AV221" s="1">
        <v>0.02269867</v>
      </c>
      <c r="AW221" s="1">
        <v>0.04501671</v>
      </c>
      <c r="AX221" s="1">
        <v>0.03140897</v>
      </c>
      <c r="AY221" s="1">
        <v>0.0219657</v>
      </c>
      <c r="AZ221" s="1">
        <v>177</v>
      </c>
      <c r="BA221" s="1">
        <v>17.21</v>
      </c>
      <c r="BB221" s="1">
        <f t="shared" si="10"/>
        <v>5.17614973257383</v>
      </c>
      <c r="BC221" s="1">
        <v>0.000169</v>
      </c>
      <c r="BD221" s="1">
        <v>268.49</v>
      </c>
      <c r="BE221" s="1">
        <v>0.693401694297791</v>
      </c>
      <c r="BF221" s="1">
        <v>-2573.788031</v>
      </c>
      <c r="BG221" s="1">
        <v>0.845133</v>
      </c>
      <c r="BH221" s="1">
        <v>833.190352229826</v>
      </c>
      <c r="BI221" s="1">
        <f t="shared" si="11"/>
        <v>6.7252621301429</v>
      </c>
      <c r="BJ221" s="1">
        <v>3.688441667</v>
      </c>
      <c r="BK221" s="1">
        <v>16476.67</v>
      </c>
      <c r="BL221" s="1">
        <v>37.4127036913868</v>
      </c>
      <c r="BM221" s="1">
        <v>178562</v>
      </c>
      <c r="BN221" s="1">
        <v>2470000</v>
      </c>
      <c r="BO221" s="1">
        <v>0.0723</v>
      </c>
      <c r="BP221" s="1">
        <v>0.266794</v>
      </c>
      <c r="BQ221" s="1">
        <v>37.412704</v>
      </c>
      <c r="BR221" s="1">
        <v>10244.9</v>
      </c>
      <c r="BS221" s="3">
        <v>1400000</v>
      </c>
    </row>
    <row r="222" spans="1:71">
      <c r="A222" s="1" t="s">
        <v>89</v>
      </c>
      <c r="B222" s="1">
        <v>19</v>
      </c>
      <c r="C222" s="1">
        <v>116.773</v>
      </c>
      <c r="D222" s="1">
        <v>23.7959</v>
      </c>
      <c r="E222" s="1">
        <v>2015</v>
      </c>
      <c r="F222" s="1">
        <v>0.377010732448435</v>
      </c>
      <c r="G222" s="1">
        <v>6.7140530134173</v>
      </c>
      <c r="H222" s="1">
        <v>5.18972942613113</v>
      </c>
      <c r="I222" s="1">
        <v>5.0944861262662</v>
      </c>
      <c r="J222" s="1">
        <v>5.16837950943364</v>
      </c>
      <c r="K222" s="1">
        <v>5.48109715167268</v>
      </c>
      <c r="L222" s="1">
        <v>-0.646885</v>
      </c>
      <c r="M222" s="1">
        <v>0</v>
      </c>
      <c r="N222" s="1">
        <v>1.9459102</v>
      </c>
      <c r="O222" s="1">
        <v>10.4327913975478</v>
      </c>
      <c r="P222" s="1">
        <v>178.42</v>
      </c>
      <c r="Q222" s="1">
        <v>162.12</v>
      </c>
      <c r="R222" s="1">
        <v>174.63</v>
      </c>
      <c r="S222" s="1">
        <v>239.11</v>
      </c>
      <c r="T222" s="1">
        <v>40.72</v>
      </c>
      <c r="U222" s="1">
        <v>0</v>
      </c>
      <c r="V222" s="1">
        <v>6</v>
      </c>
      <c r="W222" s="1">
        <v>33954</v>
      </c>
      <c r="X222" s="1">
        <v>0.214270825973874</v>
      </c>
      <c r="Y222" s="1">
        <v>8.76</v>
      </c>
      <c r="Z222" s="1">
        <v>0.532100000010988</v>
      </c>
      <c r="AA222" s="1">
        <v>6.71621141615255</v>
      </c>
      <c r="AB222" s="1">
        <f t="shared" si="9"/>
        <v>1.9045242181946</v>
      </c>
      <c r="AC222" s="1">
        <v>1.58797228774239</v>
      </c>
      <c r="AD222" s="1">
        <v>0.00705571847507331</v>
      </c>
      <c r="AE222" s="1">
        <v>0.632020547945205</v>
      </c>
      <c r="AF222" s="1">
        <v>0</v>
      </c>
      <c r="AG222" s="1">
        <v>0.37667</v>
      </c>
      <c r="AH222" s="2">
        <v>3.73098</v>
      </c>
      <c r="AI222" s="1">
        <v>37.4127036913868</v>
      </c>
      <c r="AJ222" s="1">
        <v>0.345381526104418</v>
      </c>
      <c r="AK222" s="1">
        <v>0.332545374414039</v>
      </c>
      <c r="AL222" s="1">
        <v>0.299496845299896</v>
      </c>
      <c r="AM222" s="1">
        <v>0.377418457748997</v>
      </c>
      <c r="AN222" s="1">
        <v>184</v>
      </c>
      <c r="AO222" s="1">
        <v>0.02190091</v>
      </c>
      <c r="AP222" s="1">
        <v>0.05501916</v>
      </c>
      <c r="AQ222" s="1">
        <v>0.02562835</v>
      </c>
      <c r="AR222" s="1">
        <v>0.02406577</v>
      </c>
      <c r="AS222" s="1">
        <v>0.0543899</v>
      </c>
      <c r="AT222" s="1">
        <v>0.02782811</v>
      </c>
      <c r="AU222" s="1">
        <v>0.11860631</v>
      </c>
      <c r="AV222" s="1">
        <v>0.02269867</v>
      </c>
      <c r="AW222" s="1">
        <v>0.04501671</v>
      </c>
      <c r="AX222" s="1">
        <v>0.03140897</v>
      </c>
      <c r="AY222" s="1">
        <v>0.0219657</v>
      </c>
      <c r="AZ222" s="1">
        <v>208</v>
      </c>
      <c r="BA222" s="1">
        <v>19.248</v>
      </c>
      <c r="BB222" s="1">
        <f t="shared" si="10"/>
        <v>5.33753807970132</v>
      </c>
      <c r="BC222" s="1">
        <v>0.000327</v>
      </c>
      <c r="BD222" s="1">
        <v>259.76</v>
      </c>
      <c r="BE222" s="1">
        <v>0.737658262252808</v>
      </c>
      <c r="BF222" s="1">
        <v>-2965.47123</v>
      </c>
      <c r="BG222" s="1">
        <v>0.815475</v>
      </c>
      <c r="BH222" s="1">
        <v>891.107071911319</v>
      </c>
      <c r="BI222" s="1">
        <f t="shared" si="11"/>
        <v>6.79246459074622</v>
      </c>
      <c r="BJ222" s="1">
        <v>3.688441667</v>
      </c>
      <c r="BK222" s="1">
        <v>17308.27</v>
      </c>
      <c r="BL222" s="1">
        <v>37.4127036913868</v>
      </c>
      <c r="BM222" s="1">
        <v>178562</v>
      </c>
      <c r="BN222" s="1">
        <v>2470000</v>
      </c>
      <c r="BO222" s="1">
        <v>0.0723</v>
      </c>
      <c r="BP222" s="1">
        <v>0.266794</v>
      </c>
      <c r="BQ222" s="1">
        <v>37.412704</v>
      </c>
      <c r="BR222" s="1">
        <v>10244.9</v>
      </c>
      <c r="BS222" s="3">
        <v>1400000</v>
      </c>
    </row>
    <row r="223" spans="1:71">
      <c r="A223" s="1" t="s">
        <v>89</v>
      </c>
      <c r="B223" s="1">
        <v>19</v>
      </c>
      <c r="C223" s="1">
        <v>116.773</v>
      </c>
      <c r="D223" s="1">
        <v>23.7959</v>
      </c>
      <c r="E223" s="1">
        <v>2016</v>
      </c>
      <c r="F223" s="1">
        <v>0.389750416052506</v>
      </c>
      <c r="G223" s="1">
        <v>6.78584100014244</v>
      </c>
      <c r="H223" s="1">
        <v>5.30195706629748</v>
      </c>
      <c r="I223" s="1">
        <v>5.16165101249153</v>
      </c>
      <c r="J223" s="1">
        <v>5.41818592288247</v>
      </c>
      <c r="K223" s="1">
        <v>5.49120964339714</v>
      </c>
      <c r="L223" s="1">
        <v>-0.646885</v>
      </c>
      <c r="M223" s="1">
        <v>5.44241771052179</v>
      </c>
      <c r="N223" s="1">
        <v>1.3862944</v>
      </c>
      <c r="O223" s="1">
        <v>10.51751035363</v>
      </c>
      <c r="P223" s="1">
        <v>199.729266342062</v>
      </c>
      <c r="Q223" s="1">
        <v>173.452240833869</v>
      </c>
      <c r="R223" s="1">
        <v>224.469731786429</v>
      </c>
      <c r="S223" s="1">
        <v>241.550429044182</v>
      </c>
      <c r="T223" s="1">
        <v>41.4</v>
      </c>
      <c r="U223" s="1">
        <v>230</v>
      </c>
      <c r="V223" s="1">
        <v>3</v>
      </c>
      <c r="W223" s="1">
        <v>36956</v>
      </c>
      <c r="X223" s="1">
        <v>0.204682430510192</v>
      </c>
      <c r="Y223" s="1">
        <v>5.78</v>
      </c>
      <c r="Z223" s="1">
        <v>0.514699999989763</v>
      </c>
      <c r="AA223" s="1">
        <v>6.71505583650083</v>
      </c>
      <c r="AB223" s="1">
        <f t="shared" si="9"/>
        <v>1.90435214513063</v>
      </c>
      <c r="AC223" s="1">
        <v>1.60940943375733</v>
      </c>
      <c r="AD223" s="1">
        <v>0.00631788321167883</v>
      </c>
      <c r="AE223" s="1">
        <v>0.962282533054976</v>
      </c>
      <c r="AF223" s="1">
        <v>4</v>
      </c>
      <c r="AG223" s="1">
        <v>0.373176</v>
      </c>
      <c r="AH223" s="2">
        <v>3.74715</v>
      </c>
      <c r="AI223" s="1">
        <v>37.4127036913868</v>
      </c>
      <c r="AJ223" s="1">
        <v>0.345381526104418</v>
      </c>
      <c r="AK223" s="1">
        <v>0.332545374414039</v>
      </c>
      <c r="AL223" s="1">
        <v>0.299496845299896</v>
      </c>
      <c r="AM223" s="1">
        <v>0.377418457748997</v>
      </c>
      <c r="AN223" s="1">
        <v>184</v>
      </c>
      <c r="AO223" s="1">
        <v>0.02190091</v>
      </c>
      <c r="AP223" s="1">
        <v>0.05501916</v>
      </c>
      <c r="AQ223" s="1">
        <v>0.02562835</v>
      </c>
      <c r="AR223" s="1">
        <v>0.02406577</v>
      </c>
      <c r="AS223" s="1">
        <v>0.0543899</v>
      </c>
      <c r="AT223" s="1">
        <v>0.02782811</v>
      </c>
      <c r="AU223" s="1">
        <v>0.11860631</v>
      </c>
      <c r="AV223" s="1">
        <v>0.02269867</v>
      </c>
      <c r="AW223" s="1">
        <v>0.04501671</v>
      </c>
      <c r="AX223" s="1">
        <v>0.03140897</v>
      </c>
      <c r="AY223" s="1">
        <v>0.0219657</v>
      </c>
      <c r="AZ223" s="1">
        <v>269</v>
      </c>
      <c r="BA223" s="1">
        <v>17.311</v>
      </c>
      <c r="BB223" s="1">
        <f t="shared" si="10"/>
        <v>5.59471137960184</v>
      </c>
      <c r="BC223" s="1">
        <v>0.000855</v>
      </c>
      <c r="BD223" s="1">
        <v>259.46</v>
      </c>
      <c r="BE223" s="1">
        <v>0.777709245681763</v>
      </c>
      <c r="BF223" s="1">
        <v>-2488.39351</v>
      </c>
      <c r="BG223" s="1">
        <v>-125.41622</v>
      </c>
      <c r="BH223" s="1">
        <v>948.157455404743</v>
      </c>
      <c r="BI223" s="1">
        <f t="shared" si="11"/>
        <v>6.85452058066234</v>
      </c>
      <c r="BJ223" s="1">
        <v>3.688441667</v>
      </c>
      <c r="BK223" s="1">
        <v>18362.37</v>
      </c>
      <c r="BL223" s="1">
        <v>37.4127036913868</v>
      </c>
      <c r="BM223" s="1">
        <v>178562</v>
      </c>
      <c r="BN223" s="1">
        <v>2470000</v>
      </c>
      <c r="BO223" s="1">
        <v>0.0723</v>
      </c>
      <c r="BP223" s="1">
        <v>0.266794</v>
      </c>
      <c r="BQ223" s="1">
        <v>37.412704</v>
      </c>
      <c r="BR223" s="1">
        <v>10244.9</v>
      </c>
      <c r="BS223" s="3">
        <v>1400000</v>
      </c>
    </row>
    <row r="224" spans="1:71">
      <c r="A224" s="1" t="s">
        <v>89</v>
      </c>
      <c r="B224" s="1">
        <v>19</v>
      </c>
      <c r="C224" s="1">
        <v>116.773</v>
      </c>
      <c r="D224" s="1">
        <v>23.7959</v>
      </c>
      <c r="E224" s="1">
        <v>2017</v>
      </c>
      <c r="F224" s="1">
        <v>0.354806910490927</v>
      </c>
      <c r="G224" s="1">
        <v>6.71583964889775</v>
      </c>
      <c r="H224" s="1">
        <v>5.40264352093864</v>
      </c>
      <c r="I224" s="1">
        <v>5.23165869387672</v>
      </c>
      <c r="J224" s="1">
        <v>5.60415209959928</v>
      </c>
      <c r="K224" s="1">
        <v>5.51001205583988</v>
      </c>
      <c r="L224" s="1">
        <v>-0.646885</v>
      </c>
      <c r="M224" s="1">
        <v>3.15657479867082</v>
      </c>
      <c r="N224" s="1">
        <v>1.7917595</v>
      </c>
      <c r="O224" s="1">
        <v>10.551680143447</v>
      </c>
      <c r="P224" s="1">
        <v>220.992482984539</v>
      </c>
      <c r="Q224" s="1">
        <v>186.102892729807</v>
      </c>
      <c r="R224" s="1">
        <v>270.551579079879</v>
      </c>
      <c r="S224" s="1">
        <v>246.154106688577</v>
      </c>
      <c r="T224" s="1">
        <v>44.72</v>
      </c>
      <c r="U224" s="1">
        <v>22.49</v>
      </c>
      <c r="V224" s="1">
        <v>5</v>
      </c>
      <c r="W224" s="1">
        <v>38240.6358</v>
      </c>
      <c r="X224" s="1">
        <v>0.208212171629154</v>
      </c>
      <c r="Y224" s="1">
        <v>11.42</v>
      </c>
      <c r="Z224" s="4">
        <v>0.5</v>
      </c>
      <c r="AA224" s="1">
        <v>6.7136287800442</v>
      </c>
      <c r="AB224" s="1">
        <f t="shared" si="9"/>
        <v>1.90413960659796</v>
      </c>
      <c r="AC224" s="1">
        <v>1.63381376726091</v>
      </c>
      <c r="AD224" s="1">
        <v>0.00621557971014493</v>
      </c>
      <c r="AE224" s="1">
        <v>1.07437025189924</v>
      </c>
      <c r="AF224" s="1">
        <v>2</v>
      </c>
      <c r="AG224" s="1">
        <v>0.431124</v>
      </c>
      <c r="AH224" s="2">
        <v>3.82254</v>
      </c>
      <c r="AI224" s="1">
        <v>37.4127036913868</v>
      </c>
      <c r="AJ224" s="1">
        <v>0.345381526104418</v>
      </c>
      <c r="AK224" s="1">
        <v>0.332545374414039</v>
      </c>
      <c r="AL224" s="1">
        <v>0.299496845299896</v>
      </c>
      <c r="AM224" s="1">
        <v>0.377418457748997</v>
      </c>
      <c r="AN224" s="1">
        <v>184</v>
      </c>
      <c r="AO224" s="1">
        <v>0.02190091</v>
      </c>
      <c r="AP224" s="1">
        <v>0.05501916</v>
      </c>
      <c r="AQ224" s="1">
        <v>0.02562835</v>
      </c>
      <c r="AR224" s="1">
        <v>0.02406577</v>
      </c>
      <c r="AS224" s="1">
        <v>0.0543899</v>
      </c>
      <c r="AT224" s="1">
        <v>0.02782811</v>
      </c>
      <c r="AU224" s="1">
        <v>0.11860631</v>
      </c>
      <c r="AV224" s="1">
        <v>0.02269867</v>
      </c>
      <c r="AW224" s="1">
        <v>0.04501671</v>
      </c>
      <c r="AX224" s="1">
        <v>0.03140897</v>
      </c>
      <c r="AY224" s="1">
        <v>0.0219657</v>
      </c>
      <c r="AZ224" s="1">
        <v>356</v>
      </c>
      <c r="BA224" s="1">
        <v>17.155</v>
      </c>
      <c r="BB224" s="1">
        <f t="shared" si="10"/>
        <v>5.87493073085203</v>
      </c>
      <c r="BC224" s="1">
        <v>0.000193</v>
      </c>
      <c r="BD224" s="1">
        <v>259.09</v>
      </c>
      <c r="BE224" s="1">
        <v>0.810619413852692</v>
      </c>
      <c r="BF224" s="1">
        <v>-1204.09768</v>
      </c>
      <c r="BG224" s="1">
        <v>0.936254</v>
      </c>
      <c r="BH224" s="1">
        <v>960.681642192601</v>
      </c>
      <c r="BI224" s="1">
        <f t="shared" si="11"/>
        <v>6.86764307645057</v>
      </c>
      <c r="BJ224" s="1">
        <v>3.688441667</v>
      </c>
      <c r="BK224" s="1">
        <v>19509.32</v>
      </c>
      <c r="BL224" s="1">
        <v>37.4127036913868</v>
      </c>
      <c r="BM224" s="1">
        <v>178562</v>
      </c>
      <c r="BN224" s="1">
        <v>2470000</v>
      </c>
      <c r="BO224" s="1">
        <v>0.0723</v>
      </c>
      <c r="BP224" s="1">
        <v>0.266794</v>
      </c>
      <c r="BQ224" s="1">
        <v>37.412704</v>
      </c>
      <c r="BR224" s="1">
        <v>10244.9</v>
      </c>
      <c r="BS224" s="3">
        <v>1400000</v>
      </c>
    </row>
    <row r="225" spans="1:71">
      <c r="A225" s="1" t="s">
        <v>89</v>
      </c>
      <c r="B225" s="1">
        <v>19</v>
      </c>
      <c r="C225" s="1">
        <v>116.773</v>
      </c>
      <c r="D225" s="1">
        <v>23.7959</v>
      </c>
      <c r="E225" s="1">
        <v>2018</v>
      </c>
      <c r="F225" s="1">
        <v>0.382382961555158</v>
      </c>
      <c r="G225" s="1">
        <v>6.80335547325026</v>
      </c>
      <c r="H225" s="1">
        <v>5.47520003143143</v>
      </c>
      <c r="I225" s="1">
        <v>5.338497600464</v>
      </c>
      <c r="J225" s="1">
        <v>5.5995994092354</v>
      </c>
      <c r="K225" s="1">
        <v>5.64176535309519</v>
      </c>
      <c r="L225" s="1">
        <v>-0.646885</v>
      </c>
      <c r="M225" s="1">
        <v>5.70697736555272</v>
      </c>
      <c r="N225" s="1">
        <v>2.4849067</v>
      </c>
      <c r="O225" s="1">
        <v>10.6021196633266</v>
      </c>
      <c r="P225" s="1">
        <v>237.698209325557</v>
      </c>
      <c r="Q225" s="1">
        <v>207.199676122863</v>
      </c>
      <c r="R225" s="1">
        <v>269.318098819786</v>
      </c>
      <c r="S225" s="1">
        <v>280.960038351334</v>
      </c>
      <c r="T225" s="1">
        <v>48.6</v>
      </c>
      <c r="U225" s="1">
        <v>299.96</v>
      </c>
      <c r="V225" s="1">
        <v>11</v>
      </c>
      <c r="W225" s="1">
        <v>40219</v>
      </c>
      <c r="X225" s="1">
        <v>0.193316883626493</v>
      </c>
      <c r="Y225" s="1">
        <v>5.44</v>
      </c>
      <c r="Z225" s="1">
        <v>0.4858</v>
      </c>
      <c r="AA225" s="1">
        <v>6.71254749011456</v>
      </c>
      <c r="AB225" s="1">
        <f t="shared" si="9"/>
        <v>1.90397853468736</v>
      </c>
      <c r="AC225" s="1">
        <v>1.6745041362193</v>
      </c>
      <c r="AD225" s="1">
        <v>0.00614855072463768</v>
      </c>
      <c r="AE225" s="1">
        <v>0.965595111583422</v>
      </c>
      <c r="AF225" s="1">
        <v>7</v>
      </c>
      <c r="AG225" s="1">
        <v>0.392768</v>
      </c>
      <c r="AH225" s="2">
        <v>3.90399</v>
      </c>
      <c r="AI225" s="1">
        <v>37.4127036913868</v>
      </c>
      <c r="AJ225" s="1">
        <v>0.345381526104418</v>
      </c>
      <c r="AK225" s="1">
        <v>0.332545374414039</v>
      </c>
      <c r="AL225" s="1">
        <v>0.299496845299896</v>
      </c>
      <c r="AM225" s="1">
        <v>0.377418457748997</v>
      </c>
      <c r="AN225" s="1">
        <v>184</v>
      </c>
      <c r="AO225" s="1">
        <v>0.02190091</v>
      </c>
      <c r="AP225" s="1">
        <v>0.05501916</v>
      </c>
      <c r="AQ225" s="1">
        <v>0.02562835</v>
      </c>
      <c r="AR225" s="1">
        <v>0.02406577</v>
      </c>
      <c r="AS225" s="1">
        <v>0.0543899</v>
      </c>
      <c r="AT225" s="1">
        <v>0.02782811</v>
      </c>
      <c r="AU225" s="1">
        <v>0.11860631</v>
      </c>
      <c r="AV225" s="1">
        <v>0.02269867</v>
      </c>
      <c r="AW225" s="1">
        <v>0.04501671</v>
      </c>
      <c r="AX225" s="1">
        <v>0.03140897</v>
      </c>
      <c r="AY225" s="1">
        <v>0.0219657</v>
      </c>
      <c r="AZ225" s="1">
        <v>323</v>
      </c>
      <c r="BA225" s="1">
        <v>17</v>
      </c>
      <c r="BB225" s="1">
        <f t="shared" si="10"/>
        <v>5.77765232322266</v>
      </c>
      <c r="BC225" s="1">
        <v>0.000818</v>
      </c>
      <c r="BD225" s="1">
        <v>258.81</v>
      </c>
      <c r="BE225" s="1">
        <v>0.856254398822784</v>
      </c>
      <c r="BF225" s="1">
        <v>-998.935082</v>
      </c>
      <c r="BG225" s="1">
        <v>1.108647</v>
      </c>
      <c r="BH225" s="1">
        <v>1005.3043</v>
      </c>
      <c r="BI225" s="1">
        <f t="shared" si="11"/>
        <v>6.91304556073238</v>
      </c>
      <c r="BJ225" s="1">
        <v>3.688441667</v>
      </c>
      <c r="BK225" s="1">
        <v>20595.97</v>
      </c>
      <c r="BL225" s="1">
        <v>37.4127036913868</v>
      </c>
      <c r="BM225" s="1">
        <v>178562</v>
      </c>
      <c r="BN225" s="1">
        <v>2470000</v>
      </c>
      <c r="BO225" s="1">
        <v>0.0723</v>
      </c>
      <c r="BP225" s="1">
        <v>0.266794</v>
      </c>
      <c r="BQ225" s="1">
        <v>37.412704</v>
      </c>
      <c r="BR225" s="1">
        <v>10244.9</v>
      </c>
      <c r="BS225" s="3">
        <v>1400000</v>
      </c>
    </row>
    <row r="226" spans="1:71">
      <c r="A226" s="1" t="s">
        <v>89</v>
      </c>
      <c r="B226" s="1">
        <v>19</v>
      </c>
      <c r="C226" s="1">
        <v>116.773</v>
      </c>
      <c r="D226" s="1">
        <v>23.7959</v>
      </c>
      <c r="E226" s="1">
        <v>2019</v>
      </c>
      <c r="F226" s="1">
        <v>0.438975828536849</v>
      </c>
      <c r="G226" s="1">
        <v>6.7777758881236</v>
      </c>
      <c r="H226" s="1">
        <v>5.54606666111861</v>
      </c>
      <c r="I226" s="1">
        <v>5.43574224359048</v>
      </c>
      <c r="J226" s="1">
        <v>5.66606820725685</v>
      </c>
      <c r="K226" s="1">
        <v>5.65338552614992</v>
      </c>
      <c r="L226" s="1">
        <v>-0.646885</v>
      </c>
      <c r="M226" s="1">
        <v>0</v>
      </c>
      <c r="N226" s="1">
        <v>1.609438</v>
      </c>
      <c r="O226" s="1">
        <v>10.6131294688761</v>
      </c>
      <c r="P226" s="1">
        <v>255.227740724796</v>
      </c>
      <c r="Q226" s="1">
        <v>228.463102608868</v>
      </c>
      <c r="R226" s="1">
        <v>287.89641760609</v>
      </c>
      <c r="S226" s="1">
        <v>284.255573086041</v>
      </c>
      <c r="T226" s="1">
        <v>52.05</v>
      </c>
      <c r="U226" s="1">
        <v>0</v>
      </c>
      <c r="V226" s="1">
        <v>4</v>
      </c>
      <c r="W226" s="1">
        <v>40664.261</v>
      </c>
      <c r="X226" s="1">
        <v>0.199459043650446</v>
      </c>
      <c r="Y226" s="1">
        <v>6.13</v>
      </c>
      <c r="Z226" s="1">
        <v>0.4888</v>
      </c>
      <c r="AA226" s="1">
        <v>6.71053627303746</v>
      </c>
      <c r="AB226" s="1">
        <f t="shared" si="9"/>
        <v>1.90367886925613</v>
      </c>
      <c r="AC226" s="1">
        <v>1.79977397396001</v>
      </c>
      <c r="AD226" s="1">
        <v>0.00597971014492754</v>
      </c>
      <c r="AE226" s="1">
        <v>0.825456919060052</v>
      </c>
      <c r="AF226" s="1">
        <v>0</v>
      </c>
      <c r="AG226" s="1">
        <v>0.459654</v>
      </c>
      <c r="AH226" s="2">
        <v>3.97123</v>
      </c>
      <c r="AI226" s="1">
        <v>37.4127036913868</v>
      </c>
      <c r="AJ226" s="1">
        <v>0.345381526104418</v>
      </c>
      <c r="AK226" s="1">
        <v>0.332545374414039</v>
      </c>
      <c r="AL226" s="1">
        <v>0.299496845299896</v>
      </c>
      <c r="AM226" s="1">
        <v>0.377418457748997</v>
      </c>
      <c r="AN226" s="1">
        <v>184</v>
      </c>
      <c r="AO226" s="1">
        <v>0.02190091</v>
      </c>
      <c r="AP226" s="1">
        <v>0.05501916</v>
      </c>
      <c r="AQ226" s="1">
        <v>0.02562835</v>
      </c>
      <c r="AR226" s="1">
        <v>0.02406577</v>
      </c>
      <c r="AS226" s="1">
        <v>0.0543899</v>
      </c>
      <c r="AT226" s="1">
        <v>0.02782811</v>
      </c>
      <c r="AU226" s="1">
        <v>0.11860631</v>
      </c>
      <c r="AV226" s="1">
        <v>0.02269867</v>
      </c>
      <c r="AW226" s="1">
        <v>0.04501671</v>
      </c>
      <c r="AX226" s="1">
        <v>0.03140897</v>
      </c>
      <c r="AY226" s="1">
        <v>0.0219657</v>
      </c>
      <c r="AZ226" s="1">
        <v>313</v>
      </c>
      <c r="BA226" s="1">
        <v>16.5</v>
      </c>
      <c r="BB226" s="1">
        <f t="shared" si="10"/>
        <v>5.74620319054015</v>
      </c>
      <c r="BC226" s="1">
        <v>0.00103</v>
      </c>
      <c r="BD226" s="1">
        <v>258.29</v>
      </c>
      <c r="BE226" s="1">
        <v>0.900831699371338</v>
      </c>
      <c r="BF226" s="1">
        <v>-600.216204</v>
      </c>
      <c r="BG226" s="1">
        <v>0.19571</v>
      </c>
      <c r="BH226" s="1">
        <v>1082.93673707246</v>
      </c>
      <c r="BI226" s="1">
        <f t="shared" si="11"/>
        <v>6.9874318307726</v>
      </c>
      <c r="BJ226" s="1">
        <v>3.688441667</v>
      </c>
      <c r="BK226" s="1">
        <v>22104.16</v>
      </c>
      <c r="BL226" s="1">
        <v>37.4127036913868</v>
      </c>
      <c r="BM226" s="1">
        <v>178562</v>
      </c>
      <c r="BN226" s="1">
        <v>2470000</v>
      </c>
      <c r="BO226" s="1">
        <v>0.0723</v>
      </c>
      <c r="BP226" s="1">
        <v>0.266794</v>
      </c>
      <c r="BQ226" s="1">
        <v>37.412704</v>
      </c>
      <c r="BR226" s="1">
        <v>10244.9</v>
      </c>
      <c r="BS226" s="3">
        <v>1400000</v>
      </c>
    </row>
    <row r="227" spans="1:71">
      <c r="A227" s="1" t="s">
        <v>89</v>
      </c>
      <c r="B227" s="1">
        <v>19</v>
      </c>
      <c r="C227" s="1">
        <v>116.773</v>
      </c>
      <c r="D227" s="1">
        <v>23.7959</v>
      </c>
      <c r="E227" s="1">
        <v>2020</v>
      </c>
      <c r="F227" s="1">
        <v>0.387490914505595</v>
      </c>
      <c r="G227" s="1">
        <v>6.87653875140088</v>
      </c>
      <c r="H227" s="1">
        <v>5.59069895209435</v>
      </c>
      <c r="I227" s="1">
        <v>5.50069562701816</v>
      </c>
      <c r="J227" s="1">
        <v>5.70905959811493</v>
      </c>
      <c r="K227" s="1">
        <v>5.6451329649793</v>
      </c>
      <c r="L227" s="1">
        <v>-0.646885</v>
      </c>
      <c r="M227" s="1">
        <v>7.80439417219093</v>
      </c>
      <c r="N227" s="1">
        <v>1.9459102</v>
      </c>
      <c r="O227" s="1">
        <v>10.6597589835303</v>
      </c>
      <c r="P227" s="1">
        <v>266.922819461715</v>
      </c>
      <c r="Q227" s="1">
        <v>243.862205833463</v>
      </c>
      <c r="R227" s="1">
        <v>300.587321564705</v>
      </c>
      <c r="S227" s="1">
        <v>281.911170970905</v>
      </c>
      <c r="T227" s="1">
        <v>19.33</v>
      </c>
      <c r="U227" s="1">
        <v>2450.35</v>
      </c>
      <c r="V227" s="1">
        <v>6</v>
      </c>
      <c r="W227" s="1">
        <v>42605.3671</v>
      </c>
      <c r="X227" s="1">
        <v>0.165846248848089</v>
      </c>
      <c r="Y227" s="1">
        <v>15.39</v>
      </c>
      <c r="Z227" s="1">
        <v>0.4731</v>
      </c>
      <c r="AA227" s="1">
        <v>6.70420554017428</v>
      </c>
      <c r="AB227" s="1">
        <f t="shared" si="9"/>
        <v>1.90273502204367</v>
      </c>
      <c r="AC227" s="1">
        <v>1.97920284358436</v>
      </c>
      <c r="AD227" s="1">
        <v>0.00765662431941924</v>
      </c>
      <c r="AE227" s="1">
        <v>0.917620939471839</v>
      </c>
      <c r="AF227" s="1">
        <v>24</v>
      </c>
      <c r="AG227" s="1">
        <v>0.46096</v>
      </c>
      <c r="AH227" s="2">
        <v>3.0121</v>
      </c>
      <c r="AI227" s="1">
        <v>37.4127036913868</v>
      </c>
      <c r="AJ227" s="1">
        <v>0.345381526104418</v>
      </c>
      <c r="AK227" s="1">
        <v>0.332545374414039</v>
      </c>
      <c r="AL227" s="1">
        <v>0.299496845299896</v>
      </c>
      <c r="AM227" s="1">
        <v>0.377418457748997</v>
      </c>
      <c r="AN227" s="1">
        <v>184</v>
      </c>
      <c r="AO227" s="1">
        <v>0.02190091</v>
      </c>
      <c r="AP227" s="1">
        <v>0.05501916</v>
      </c>
      <c r="AQ227" s="1">
        <v>0.02562835</v>
      </c>
      <c r="AR227" s="1">
        <v>0.02406577</v>
      </c>
      <c r="AS227" s="1">
        <v>0.0543899</v>
      </c>
      <c r="AT227" s="1">
        <v>0.02782811</v>
      </c>
      <c r="AU227" s="1">
        <v>0.11860631</v>
      </c>
      <c r="AV227" s="1">
        <v>0.02269867</v>
      </c>
      <c r="AW227" s="1">
        <v>0.04501671</v>
      </c>
      <c r="AX227" s="1">
        <v>0.03140897</v>
      </c>
      <c r="AY227" s="1">
        <v>0.0219657</v>
      </c>
      <c r="AZ227" s="1">
        <v>443</v>
      </c>
      <c r="BA227" s="1">
        <v>19.2</v>
      </c>
      <c r="BB227" s="1">
        <f t="shared" si="10"/>
        <v>6.09356977004514</v>
      </c>
      <c r="BC227" s="1">
        <v>0.000605</v>
      </c>
      <c r="BD227" s="1">
        <v>256.66</v>
      </c>
      <c r="BE227" s="1">
        <v>0.907837092876434</v>
      </c>
      <c r="BF227" s="1">
        <v>-180.222625</v>
      </c>
      <c r="BG227" s="1">
        <v>-0.473549</v>
      </c>
      <c r="BH227" s="1">
        <v>1096.9817</v>
      </c>
      <c r="BI227" s="1">
        <f t="shared" si="11"/>
        <v>7.00031777827647</v>
      </c>
      <c r="BJ227" s="1">
        <v>3.688441667</v>
      </c>
      <c r="BK227" s="1">
        <v>22784.22</v>
      </c>
      <c r="BL227" s="1">
        <v>37.4127036913868</v>
      </c>
      <c r="BM227" s="1">
        <v>178562</v>
      </c>
      <c r="BN227" s="1">
        <v>2470000</v>
      </c>
      <c r="BO227" s="1">
        <v>0.0723</v>
      </c>
      <c r="BP227" s="1">
        <v>0.266794</v>
      </c>
      <c r="BQ227" s="1">
        <v>37.412704</v>
      </c>
      <c r="BR227" s="1">
        <v>10244.9</v>
      </c>
      <c r="BS227" s="3">
        <v>1400000</v>
      </c>
    </row>
    <row r="228" spans="1:71">
      <c r="A228" s="1" t="s">
        <v>89</v>
      </c>
      <c r="B228" s="1">
        <v>19</v>
      </c>
      <c r="C228" s="1">
        <v>116.773</v>
      </c>
      <c r="D228" s="1">
        <v>23.7959</v>
      </c>
      <c r="E228" s="1">
        <v>2021</v>
      </c>
      <c r="F228" s="1">
        <v>0.428960344081844</v>
      </c>
      <c r="G228" s="1">
        <v>6.95138309924919</v>
      </c>
      <c r="H228" s="1">
        <v>5.69183765820163</v>
      </c>
      <c r="I228" s="1">
        <v>5.64501195218478</v>
      </c>
      <c r="J228" s="1">
        <v>5.7742890405961</v>
      </c>
      <c r="K228" s="1">
        <v>5.68676200239504</v>
      </c>
      <c r="L228" s="1">
        <v>-0.646885</v>
      </c>
      <c r="M228" s="1">
        <v>7.84655868813768</v>
      </c>
      <c r="N228" s="1">
        <v>2.4849067</v>
      </c>
      <c r="O228" s="1">
        <v>10.4264121269207</v>
      </c>
      <c r="P228" s="1">
        <v>295.43787190176</v>
      </c>
      <c r="Q228" s="1">
        <v>281.876937180188</v>
      </c>
      <c r="R228" s="1">
        <v>320.915484536017</v>
      </c>
      <c r="S228" s="1">
        <v>293.937067324335</v>
      </c>
      <c r="T228" s="1">
        <v>23.48</v>
      </c>
      <c r="U228" s="1">
        <v>2555.92</v>
      </c>
      <c r="V228" s="1">
        <v>11</v>
      </c>
      <c r="W228" s="1">
        <v>33738.0813</v>
      </c>
      <c r="X228" s="1">
        <v>0.193929232984998</v>
      </c>
      <c r="Y228" s="1">
        <v>16.87</v>
      </c>
      <c r="Z228" s="1">
        <v>0.4835</v>
      </c>
      <c r="AA228" s="1">
        <v>6.70731765658945</v>
      </c>
      <c r="AB228" s="1">
        <f t="shared" si="9"/>
        <v>1.90319911794469</v>
      </c>
      <c r="AC228" s="1">
        <v>1.9221051875625</v>
      </c>
      <c r="AD228" s="4">
        <v>0.00933353849391094</v>
      </c>
      <c r="AE228" s="1">
        <v>0.913588850174216</v>
      </c>
      <c r="AF228" s="1">
        <v>18</v>
      </c>
      <c r="AG228" s="1">
        <v>0.478388</v>
      </c>
      <c r="AH228" s="2">
        <v>3.19786</v>
      </c>
      <c r="AI228" s="1">
        <v>37.4127036913868</v>
      </c>
      <c r="AJ228" s="1">
        <v>0.345381526104418</v>
      </c>
      <c r="AK228" s="1">
        <v>0.332545374414039</v>
      </c>
      <c r="AL228" s="1">
        <v>0.299496845299896</v>
      </c>
      <c r="AM228" s="1">
        <v>0.377418457748997</v>
      </c>
      <c r="AN228" s="1">
        <v>184</v>
      </c>
      <c r="AO228" s="1">
        <v>0.02190091</v>
      </c>
      <c r="AP228" s="1">
        <v>0.05501916</v>
      </c>
      <c r="AQ228" s="1">
        <v>0.02562835</v>
      </c>
      <c r="AR228" s="1">
        <v>0.02406577</v>
      </c>
      <c r="AS228" s="1">
        <v>0.0543899</v>
      </c>
      <c r="AT228" s="1">
        <v>0.02782811</v>
      </c>
      <c r="AU228" s="1">
        <v>0.11860631</v>
      </c>
      <c r="AV228" s="1">
        <v>0.02269867</v>
      </c>
      <c r="AW228" s="1">
        <v>0.04501671</v>
      </c>
      <c r="AX228" s="1">
        <v>0.03140897</v>
      </c>
      <c r="AY228" s="1">
        <v>0.0219657</v>
      </c>
      <c r="AZ228" s="1">
        <v>340</v>
      </c>
      <c r="BA228" s="1">
        <v>22.3</v>
      </c>
      <c r="BB228" s="1">
        <f t="shared" si="10"/>
        <v>5.82894561761021</v>
      </c>
      <c r="BC228" s="1">
        <v>0.000481</v>
      </c>
      <c r="BD228" s="1">
        <v>257.46</v>
      </c>
      <c r="BE228" s="1">
        <v>0.876510202884674</v>
      </c>
      <c r="BF228" s="1">
        <v>478.08648</v>
      </c>
      <c r="BG228" s="1">
        <v>-0.6468</v>
      </c>
      <c r="BH228" s="1">
        <v>1244.8544</v>
      </c>
      <c r="BI228" s="1">
        <f t="shared" si="11"/>
        <v>7.12677385426872</v>
      </c>
      <c r="BJ228" s="1">
        <v>3.688441667</v>
      </c>
      <c r="BK228" s="1">
        <v>26385.67</v>
      </c>
      <c r="BL228" s="1">
        <v>37.4127036913868</v>
      </c>
      <c r="BM228" s="1">
        <v>178562</v>
      </c>
      <c r="BN228" s="1">
        <v>2470000</v>
      </c>
      <c r="BO228" s="1">
        <v>0.0723</v>
      </c>
      <c r="BP228" s="1">
        <v>0.266794</v>
      </c>
      <c r="BQ228" s="1">
        <v>37.412704</v>
      </c>
      <c r="BR228" s="1">
        <v>10244.9</v>
      </c>
      <c r="BS228" s="3">
        <v>1400000</v>
      </c>
    </row>
    <row r="229" spans="1:71">
      <c r="A229" s="1" t="s">
        <v>89</v>
      </c>
      <c r="B229" s="1">
        <v>19</v>
      </c>
      <c r="C229" s="1">
        <v>116.773</v>
      </c>
      <c r="D229" s="1">
        <v>23.7959</v>
      </c>
      <c r="E229" s="1">
        <v>2022</v>
      </c>
      <c r="F229" s="1">
        <v>0.424616930396999</v>
      </c>
      <c r="G229" s="1">
        <v>6.69188396163364</v>
      </c>
      <c r="H229" s="1">
        <v>5.69951298802204</v>
      </c>
      <c r="I229" s="1">
        <v>5.70559592935282</v>
      </c>
      <c r="J229" s="1">
        <v>5.67500791882636</v>
      </c>
      <c r="K229" s="1">
        <v>5.72313422156292</v>
      </c>
      <c r="L229" s="1">
        <v>-0.646885</v>
      </c>
      <c r="M229" s="1">
        <v>2.60268968544438</v>
      </c>
      <c r="N229" s="1">
        <v>2.3978953</v>
      </c>
      <c r="O229" s="1">
        <v>10.8393652021683</v>
      </c>
      <c r="P229" s="1">
        <v>297.721884406968</v>
      </c>
      <c r="Q229" s="1">
        <v>299.544529980048</v>
      </c>
      <c r="R229" s="1">
        <v>290.490646776308</v>
      </c>
      <c r="S229" s="1">
        <v>304.862061667739</v>
      </c>
      <c r="T229" s="1">
        <v>21.5</v>
      </c>
      <c r="U229" s="1">
        <v>12.5</v>
      </c>
      <c r="V229" s="1">
        <v>10</v>
      </c>
      <c r="W229" s="1">
        <v>50988</v>
      </c>
      <c r="X229" s="1">
        <v>0.198936224336694</v>
      </c>
      <c r="Y229" s="1">
        <v>14.55</v>
      </c>
      <c r="Z229" s="1">
        <v>0.4764</v>
      </c>
      <c r="AA229" s="1">
        <v>6.70770599102794</v>
      </c>
      <c r="AB229" s="1">
        <f t="shared" si="9"/>
        <v>1.90325701339814</v>
      </c>
      <c r="AC229" s="1">
        <v>1.99552332565312</v>
      </c>
      <c r="AD229" s="1">
        <v>0.00100581818181818</v>
      </c>
      <c r="AE229" s="1">
        <v>1.85594849125505</v>
      </c>
      <c r="AF229" s="1">
        <v>9</v>
      </c>
      <c r="AG229" s="1">
        <v>0.470316</v>
      </c>
      <c r="AH229" s="2">
        <v>3.11352</v>
      </c>
      <c r="AI229" s="1">
        <v>37.4127036913868</v>
      </c>
      <c r="AJ229" s="1">
        <v>0.345381526104418</v>
      </c>
      <c r="AK229" s="1">
        <v>0.332545374414039</v>
      </c>
      <c r="AL229" s="1">
        <v>0.299496845299896</v>
      </c>
      <c r="AM229" s="1">
        <v>0.377418457748997</v>
      </c>
      <c r="AN229" s="1">
        <v>184</v>
      </c>
      <c r="AO229" s="1">
        <v>0.02190091</v>
      </c>
      <c r="AP229" s="1">
        <v>0.05501916</v>
      </c>
      <c r="AQ229" s="1">
        <v>0.02562835</v>
      </c>
      <c r="AR229" s="1">
        <v>0.02406577</v>
      </c>
      <c r="AS229" s="1">
        <v>0.0543899</v>
      </c>
      <c r="AT229" s="1">
        <v>0.02782811</v>
      </c>
      <c r="AU229" s="1">
        <v>0.11860631</v>
      </c>
      <c r="AV229" s="1">
        <v>0.02269867</v>
      </c>
      <c r="AW229" s="1">
        <v>0.04501671</v>
      </c>
      <c r="AX229" s="1">
        <v>0.03140897</v>
      </c>
      <c r="AY229" s="1">
        <v>0.0219657</v>
      </c>
      <c r="AZ229" s="1">
        <v>400</v>
      </c>
      <c r="BA229" s="1">
        <v>23</v>
      </c>
      <c r="BB229" s="1">
        <f t="shared" si="10"/>
        <v>5.99146454710798</v>
      </c>
      <c r="BC229" s="1">
        <v>0.000542</v>
      </c>
      <c r="BD229" s="1">
        <v>257.56</v>
      </c>
      <c r="BE229" s="1">
        <v>0.899395702775291</v>
      </c>
      <c r="BF229" s="1">
        <v>34059.77906</v>
      </c>
      <c r="BG229" s="1">
        <v>-1.219567</v>
      </c>
      <c r="BH229" s="1">
        <v>1312.98</v>
      </c>
      <c r="BI229" s="1">
        <f t="shared" si="11"/>
        <v>7.18005464189432</v>
      </c>
      <c r="BJ229" s="1">
        <v>3.688441667</v>
      </c>
      <c r="BK229" s="1">
        <v>27531.82</v>
      </c>
      <c r="BL229" s="1">
        <v>37.4127036913868</v>
      </c>
      <c r="BM229" s="1">
        <v>178562</v>
      </c>
      <c r="BN229" s="1">
        <v>2470000</v>
      </c>
      <c r="BO229" s="1">
        <v>0.0723</v>
      </c>
      <c r="BP229" s="1">
        <v>0.266794</v>
      </c>
      <c r="BQ229" s="1">
        <v>37.412704</v>
      </c>
      <c r="BR229" s="1">
        <v>10244.9</v>
      </c>
      <c r="BS229" s="3">
        <v>1400000</v>
      </c>
    </row>
    <row r="230" spans="1:71">
      <c r="A230" s="1" t="s">
        <v>90</v>
      </c>
      <c r="B230" s="1">
        <v>20</v>
      </c>
      <c r="C230" s="1">
        <v>116.117</v>
      </c>
      <c r="D230" s="1">
        <v>23.3383</v>
      </c>
      <c r="E230" s="1">
        <v>2011</v>
      </c>
      <c r="F230" s="1">
        <v>0.565540406220207</v>
      </c>
      <c r="G230" s="1">
        <v>7.19185344114276</v>
      </c>
      <c r="H230" s="1">
        <v>3.93554420046949</v>
      </c>
      <c r="I230" s="1">
        <v>3.34003094642466</v>
      </c>
      <c r="J230" s="1">
        <v>4.38452351487246</v>
      </c>
      <c r="K230" s="1">
        <v>4.30878367290616</v>
      </c>
      <c r="L230" s="1">
        <v>-0.5236365</v>
      </c>
      <c r="M230" s="1">
        <v>5.00736328022583</v>
      </c>
      <c r="N230" s="1">
        <v>1.0986123</v>
      </c>
      <c r="O230" s="1">
        <v>9.94179438669071</v>
      </c>
      <c r="P230" s="1">
        <v>50.19</v>
      </c>
      <c r="Q230" s="1">
        <v>27.22</v>
      </c>
      <c r="R230" s="1">
        <v>79.2</v>
      </c>
      <c r="S230" s="1">
        <v>73.35</v>
      </c>
      <c r="T230" s="1">
        <v>22.54</v>
      </c>
      <c r="U230" s="1">
        <v>148.51</v>
      </c>
      <c r="V230" s="1">
        <v>2</v>
      </c>
      <c r="W230" s="1">
        <v>20780</v>
      </c>
      <c r="X230" s="1">
        <v>0.222555761415426</v>
      </c>
      <c r="Y230" s="1">
        <v>8.49</v>
      </c>
      <c r="Z230" s="1">
        <v>0.599499999959212</v>
      </c>
      <c r="AA230" s="1">
        <v>7.02404333773493</v>
      </c>
      <c r="AB230" s="1">
        <f t="shared" si="9"/>
        <v>1.94933902626465</v>
      </c>
      <c r="AC230" s="1">
        <v>1.33219924913386</v>
      </c>
      <c r="AD230" s="1">
        <v>0.00131480651426864</v>
      </c>
      <c r="AE230" s="1">
        <v>0.894138658873194</v>
      </c>
      <c r="AF230" s="1">
        <v>5</v>
      </c>
      <c r="AG230" s="1">
        <v>0.331824</v>
      </c>
      <c r="AH230" s="2">
        <v>3.1587</v>
      </c>
      <c r="AI230" s="1">
        <v>217.423789982436</v>
      </c>
      <c r="AJ230" s="1">
        <v>0.110068750635012</v>
      </c>
      <c r="AK230" s="1">
        <v>0.136264685843429</v>
      </c>
      <c r="AL230" s="1">
        <v>0.0984768907563025</v>
      </c>
      <c r="AM230" s="1">
        <v>0.131420786922029</v>
      </c>
      <c r="AN230" s="1">
        <v>0</v>
      </c>
      <c r="AO230" s="1">
        <v>0.02770735</v>
      </c>
      <c r="AP230" s="1">
        <v>0.05655902</v>
      </c>
      <c r="AQ230" s="1">
        <v>0.03333045</v>
      </c>
      <c r="AR230" s="1">
        <v>0.03301891</v>
      </c>
      <c r="AS230" s="1">
        <v>0.05572213</v>
      </c>
      <c r="AT230" s="1">
        <v>0.03911615</v>
      </c>
      <c r="AU230" s="1">
        <v>0.11497432</v>
      </c>
      <c r="AV230" s="1">
        <v>0.02948703</v>
      </c>
      <c r="AW230" s="1">
        <v>0.05370826</v>
      </c>
      <c r="AX230" s="1">
        <v>0.03765816</v>
      </c>
      <c r="AY230" s="1">
        <v>0.02780761</v>
      </c>
      <c r="AZ230" s="1">
        <v>80</v>
      </c>
      <c r="BA230" s="1">
        <v>8.8</v>
      </c>
      <c r="BB230" s="1">
        <f t="shared" si="10"/>
        <v>4.38202663467388</v>
      </c>
      <c r="BC230" s="1">
        <v>0</v>
      </c>
      <c r="BD230" s="1">
        <v>669.3</v>
      </c>
      <c r="BE230" s="1">
        <v>0.492903888225555</v>
      </c>
      <c r="BF230" s="1">
        <v>-478.943504</v>
      </c>
      <c r="BG230" s="1">
        <v>1.451225</v>
      </c>
      <c r="BH230" s="1">
        <v>1163.383194</v>
      </c>
      <c r="BI230" s="1">
        <f t="shared" si="11"/>
        <v>7.05908758578181</v>
      </c>
      <c r="BJ230" s="1">
        <v>3.214066667</v>
      </c>
      <c r="BM230" s="1">
        <v>289563</v>
      </c>
      <c r="BN230" s="1">
        <v>5680000</v>
      </c>
      <c r="BO230" s="1">
        <v>0.051</v>
      </c>
      <c r="BP230" s="1">
        <v>0.182763</v>
      </c>
      <c r="BQ230" s="1">
        <v>24.933511</v>
      </c>
      <c r="BR230" s="1">
        <v>7018.08</v>
      </c>
      <c r="BS230" s="1">
        <v>957447</v>
      </c>
    </row>
    <row r="231" spans="1:71">
      <c r="A231" s="1" t="s">
        <v>90</v>
      </c>
      <c r="B231" s="1">
        <v>20</v>
      </c>
      <c r="C231" s="1">
        <v>116.117</v>
      </c>
      <c r="D231" s="1">
        <v>23.3383</v>
      </c>
      <c r="E231" s="1">
        <v>2012</v>
      </c>
      <c r="F231" s="1">
        <v>0.667867870265546</v>
      </c>
      <c r="G231" s="1">
        <v>7.17492392008137</v>
      </c>
      <c r="H231" s="1">
        <v>4.53388898398312</v>
      </c>
      <c r="I231" s="1">
        <v>4.25248726331889</v>
      </c>
      <c r="J231" s="1">
        <v>4.82092651886828</v>
      </c>
      <c r="K231" s="1">
        <v>4.72117386174439</v>
      </c>
      <c r="L231" s="1">
        <v>-0.5236365</v>
      </c>
      <c r="M231" s="1">
        <v>0</v>
      </c>
      <c r="N231" s="1">
        <v>1.7917595</v>
      </c>
      <c r="O231" s="1">
        <v>10.0661589704069</v>
      </c>
      <c r="P231" s="1">
        <v>92.12</v>
      </c>
      <c r="Q231" s="1">
        <v>69.28</v>
      </c>
      <c r="R231" s="1">
        <v>123.08</v>
      </c>
      <c r="S231" s="1">
        <v>111.3</v>
      </c>
      <c r="T231" s="1">
        <v>25.3</v>
      </c>
      <c r="U231" s="1">
        <v>0</v>
      </c>
      <c r="V231" s="1">
        <v>5</v>
      </c>
      <c r="W231" s="1">
        <v>23532</v>
      </c>
      <c r="X231" s="1">
        <v>0.193208819180616</v>
      </c>
      <c r="Y231" s="1">
        <v>8</v>
      </c>
      <c r="Z231" s="1">
        <v>0.615200000028637</v>
      </c>
      <c r="AA231" s="1">
        <v>7.03086654279703</v>
      </c>
      <c r="AB231" s="1">
        <f t="shared" si="9"/>
        <v>1.95030996178201</v>
      </c>
      <c r="AC231" s="1">
        <v>1.36533863098574</v>
      </c>
      <c r="AD231" s="1">
        <v>0.00155230746401543</v>
      </c>
      <c r="AE231" s="1">
        <v>1.08118837239083</v>
      </c>
      <c r="AF231" s="1">
        <v>0</v>
      </c>
      <c r="AG231" s="1">
        <v>0.359488</v>
      </c>
      <c r="AH231" s="2">
        <v>3.26957</v>
      </c>
      <c r="AI231" s="1">
        <v>217.423789982436</v>
      </c>
      <c r="AJ231" s="1">
        <v>0.110068750635012</v>
      </c>
      <c r="AK231" s="1">
        <v>0.136264685843429</v>
      </c>
      <c r="AL231" s="1">
        <v>0.0984768907563025</v>
      </c>
      <c r="AM231" s="1">
        <v>0.131420786922029</v>
      </c>
      <c r="AN231" s="1">
        <v>0</v>
      </c>
      <c r="AO231" s="1">
        <v>0.02770735</v>
      </c>
      <c r="AP231" s="1">
        <v>0.05655902</v>
      </c>
      <c r="AQ231" s="1">
        <v>0.03333045</v>
      </c>
      <c r="AR231" s="1">
        <v>0.03301891</v>
      </c>
      <c r="AS231" s="1">
        <v>0.05572213</v>
      </c>
      <c r="AT231" s="1">
        <v>0.03911615</v>
      </c>
      <c r="AU231" s="1">
        <v>0.11497432</v>
      </c>
      <c r="AV231" s="1">
        <v>0.02948703</v>
      </c>
      <c r="AW231" s="1">
        <v>0.05370826</v>
      </c>
      <c r="AX231" s="1">
        <v>0.03765816</v>
      </c>
      <c r="AY231" s="1">
        <v>0.02780761</v>
      </c>
      <c r="AZ231" s="1">
        <v>112</v>
      </c>
      <c r="BA231" s="1">
        <v>10.461</v>
      </c>
      <c r="BB231" s="1">
        <f t="shared" si="10"/>
        <v>4.71849887129509</v>
      </c>
      <c r="BC231" s="1">
        <v>0.000518</v>
      </c>
      <c r="BD231" s="1">
        <v>673.9</v>
      </c>
      <c r="BE231" s="1">
        <v>0.46228951215744</v>
      </c>
      <c r="BF231" s="1">
        <v>-255.809045</v>
      </c>
      <c r="BG231" s="1">
        <v>0.974427</v>
      </c>
      <c r="BH231" s="1">
        <v>1306.170321</v>
      </c>
      <c r="BI231" s="1">
        <f t="shared" si="11"/>
        <v>7.17485471557514</v>
      </c>
      <c r="BJ231" s="1">
        <v>3.214066667</v>
      </c>
      <c r="BM231" s="1">
        <v>289563</v>
      </c>
      <c r="BN231" s="1">
        <v>5680000</v>
      </c>
      <c r="BO231" s="1">
        <v>0.051</v>
      </c>
      <c r="BP231" s="1">
        <v>0.182763</v>
      </c>
      <c r="BQ231" s="1">
        <v>24.933511</v>
      </c>
      <c r="BR231" s="1">
        <v>7018.08</v>
      </c>
      <c r="BS231" s="1">
        <v>957447</v>
      </c>
    </row>
    <row r="232" spans="1:71">
      <c r="A232" s="1" t="s">
        <v>90</v>
      </c>
      <c r="B232" s="1">
        <v>20</v>
      </c>
      <c r="C232" s="1">
        <v>116.117</v>
      </c>
      <c r="D232" s="1">
        <v>23.3383</v>
      </c>
      <c r="E232" s="1">
        <v>2013</v>
      </c>
      <c r="F232" s="1">
        <v>0.516396791545071</v>
      </c>
      <c r="G232" s="1">
        <v>7.1197679836285</v>
      </c>
      <c r="H232" s="1">
        <v>4.88302916949111</v>
      </c>
      <c r="I232" s="1">
        <v>4.63686263272058</v>
      </c>
      <c r="J232" s="1">
        <v>5.04012936932395</v>
      </c>
      <c r="K232" s="1">
        <v>5.22751929523932</v>
      </c>
      <c r="L232" s="1">
        <v>-0.5236365</v>
      </c>
      <c r="M232" s="1">
        <v>0</v>
      </c>
      <c r="N232" s="1">
        <v>0.6931472</v>
      </c>
      <c r="O232" s="1">
        <v>10.1986540466975</v>
      </c>
      <c r="P232" s="1">
        <v>131.03</v>
      </c>
      <c r="Q232" s="1">
        <v>102.22</v>
      </c>
      <c r="R232" s="1">
        <v>153.49</v>
      </c>
      <c r="S232" s="1">
        <v>185.33</v>
      </c>
      <c r="T232" s="1">
        <v>27.54</v>
      </c>
      <c r="U232" s="1">
        <v>0</v>
      </c>
      <c r="V232" s="1">
        <v>1</v>
      </c>
      <c r="W232" s="1">
        <v>26866</v>
      </c>
      <c r="X232" s="1">
        <v>0.181027505312387</v>
      </c>
      <c r="Y232" s="1">
        <v>5.84</v>
      </c>
      <c r="Z232" s="1">
        <v>0.631500000031146</v>
      </c>
      <c r="AA232" s="1">
        <v>7.03735996343395</v>
      </c>
      <c r="AB232" s="1">
        <f t="shared" si="9"/>
        <v>1.95123309464388</v>
      </c>
      <c r="AC232" s="1">
        <v>1.40002673557452</v>
      </c>
      <c r="AD232" s="1">
        <v>0.00173033543284019</v>
      </c>
      <c r="AE232" s="1">
        <v>1.23613829093281</v>
      </c>
      <c r="AF232" s="1">
        <v>0</v>
      </c>
      <c r="AG232" s="1">
        <v>0.390918</v>
      </c>
      <c r="AH232" s="2">
        <v>3.35131</v>
      </c>
      <c r="AI232" s="1">
        <v>217.423789982436</v>
      </c>
      <c r="AJ232" s="1">
        <v>0.110068750635012</v>
      </c>
      <c r="AK232" s="1">
        <v>0.136264685843429</v>
      </c>
      <c r="AL232" s="1">
        <v>0.0984768907563025</v>
      </c>
      <c r="AM232" s="1">
        <v>0.131420786922029</v>
      </c>
      <c r="AN232" s="1">
        <v>0</v>
      </c>
      <c r="AO232" s="1">
        <v>0.02770735</v>
      </c>
      <c r="AP232" s="1">
        <v>0.05655902</v>
      </c>
      <c r="AQ232" s="1">
        <v>0.03333045</v>
      </c>
      <c r="AR232" s="1">
        <v>0.03301891</v>
      </c>
      <c r="AS232" s="1">
        <v>0.05572213</v>
      </c>
      <c r="AT232" s="1">
        <v>0.03911615</v>
      </c>
      <c r="AU232" s="1">
        <v>0.11497432</v>
      </c>
      <c r="AV232" s="1">
        <v>0.02948703</v>
      </c>
      <c r="AW232" s="1">
        <v>0.05370826</v>
      </c>
      <c r="AX232" s="1">
        <v>0.03765816</v>
      </c>
      <c r="AY232" s="1">
        <v>0.02780761</v>
      </c>
      <c r="AZ232" s="1">
        <v>171</v>
      </c>
      <c r="BA232" s="1">
        <v>11.813</v>
      </c>
      <c r="BB232" s="1">
        <f t="shared" si="10"/>
        <v>5.14166355650266</v>
      </c>
      <c r="BC232" s="1">
        <v>0.000416</v>
      </c>
      <c r="BD232" s="1">
        <v>682.7</v>
      </c>
      <c r="BE232" s="1">
        <v>0.431198090314865</v>
      </c>
      <c r="BF232" s="1">
        <v>-261.1181608</v>
      </c>
      <c r="BG232" s="1">
        <v>2.380696</v>
      </c>
      <c r="BH232" s="1">
        <v>1465.35811772487</v>
      </c>
      <c r="BI232" s="1">
        <f t="shared" si="11"/>
        <v>7.28985494053734</v>
      </c>
      <c r="BJ232" s="1">
        <v>3.214066667</v>
      </c>
      <c r="BM232" s="1">
        <v>289563</v>
      </c>
      <c r="BN232" s="1">
        <v>5680000</v>
      </c>
      <c r="BO232" s="1">
        <v>0.051</v>
      </c>
      <c r="BP232" s="1">
        <v>0.182763</v>
      </c>
      <c r="BQ232" s="1">
        <v>24.933511</v>
      </c>
      <c r="BR232" s="1">
        <v>7018.08</v>
      </c>
      <c r="BS232" s="1">
        <v>957447</v>
      </c>
    </row>
    <row r="233" spans="1:71">
      <c r="A233" s="1" t="s">
        <v>90</v>
      </c>
      <c r="B233" s="1">
        <v>20</v>
      </c>
      <c r="C233" s="1">
        <v>116.117</v>
      </c>
      <c r="D233" s="1">
        <v>23.3383</v>
      </c>
      <c r="E233" s="1">
        <v>2014</v>
      </c>
      <c r="F233" s="1">
        <v>0.449218748888195</v>
      </c>
      <c r="G233" s="1">
        <v>7.27029906761194</v>
      </c>
      <c r="H233" s="1">
        <v>4.90875021359264</v>
      </c>
      <c r="I233" s="1">
        <v>4.90253027499114</v>
      </c>
      <c r="J233" s="1">
        <v>4.86699584389464</v>
      </c>
      <c r="K233" s="1">
        <v>4.99916981598697</v>
      </c>
      <c r="L233" s="1">
        <v>-0.5236365</v>
      </c>
      <c r="M233" s="1">
        <v>2.83321334405621</v>
      </c>
      <c r="N233" s="1">
        <v>0</v>
      </c>
      <c r="O233" s="1">
        <v>10.2955634235252</v>
      </c>
      <c r="P233" s="1">
        <v>134.47</v>
      </c>
      <c r="Q233" s="1">
        <v>133.63</v>
      </c>
      <c r="R233" s="1">
        <v>128.93</v>
      </c>
      <c r="S233" s="1">
        <v>147.29</v>
      </c>
      <c r="T233" s="1">
        <v>35.17</v>
      </c>
      <c r="U233" s="1">
        <v>16</v>
      </c>
      <c r="V233" s="1">
        <v>0</v>
      </c>
      <c r="W233" s="1">
        <v>29600</v>
      </c>
      <c r="X233" s="1">
        <v>0.188464204606918</v>
      </c>
      <c r="Y233" s="1">
        <v>2.35</v>
      </c>
      <c r="Z233" s="1">
        <v>0.616699999977534</v>
      </c>
      <c r="AA233" s="1">
        <v>7.0490759130354</v>
      </c>
      <c r="AB233" s="1">
        <f t="shared" si="9"/>
        <v>1.95289653206775</v>
      </c>
      <c r="AC233" s="1">
        <v>1.44253731737282</v>
      </c>
      <c r="AD233" s="1">
        <v>0.00176346874099683</v>
      </c>
      <c r="AE233" s="1">
        <v>1.34247664480223</v>
      </c>
      <c r="AF233" s="1">
        <v>1</v>
      </c>
      <c r="AG233" s="1">
        <v>0.370328</v>
      </c>
      <c r="AH233" s="2">
        <v>3.58823</v>
      </c>
      <c r="AI233" s="1">
        <v>217.423789982436</v>
      </c>
      <c r="AJ233" s="1">
        <v>0.110068750635012</v>
      </c>
      <c r="AK233" s="1">
        <v>0.136264685843429</v>
      </c>
      <c r="AL233" s="1">
        <v>0.0984768907563025</v>
      </c>
      <c r="AM233" s="1">
        <v>0.131420786922029</v>
      </c>
      <c r="AN233" s="1">
        <v>0</v>
      </c>
      <c r="AO233" s="1">
        <v>0.02770735</v>
      </c>
      <c r="AP233" s="1">
        <v>0.05655902</v>
      </c>
      <c r="AQ233" s="1">
        <v>0.03333045</v>
      </c>
      <c r="AR233" s="1">
        <v>0.03301891</v>
      </c>
      <c r="AS233" s="1">
        <v>0.05572213</v>
      </c>
      <c r="AT233" s="1">
        <v>0.03911615</v>
      </c>
      <c r="AU233" s="1">
        <v>0.11497432</v>
      </c>
      <c r="AV233" s="1">
        <v>0.02948703</v>
      </c>
      <c r="AW233" s="1">
        <v>0.05370826</v>
      </c>
      <c r="AX233" s="1">
        <v>0.03765816</v>
      </c>
      <c r="AY233" s="1">
        <v>0.02780761</v>
      </c>
      <c r="AZ233" s="1">
        <v>122</v>
      </c>
      <c r="BA233" s="1">
        <v>12.242</v>
      </c>
      <c r="BB233" s="1">
        <f t="shared" si="10"/>
        <v>4.80402104473326</v>
      </c>
      <c r="BC233" s="1">
        <v>0.000609</v>
      </c>
      <c r="BD233" s="1">
        <v>581.62</v>
      </c>
      <c r="BE233" s="1">
        <v>0.478351533412933</v>
      </c>
      <c r="BF233" s="1">
        <v>-140.5218044</v>
      </c>
      <c r="BG233" s="1">
        <v>4.251571</v>
      </c>
      <c r="BH233" s="1">
        <v>1604.73409104351</v>
      </c>
      <c r="BI233" s="1">
        <f t="shared" si="11"/>
        <v>7.38071334647614</v>
      </c>
      <c r="BJ233" s="1">
        <v>3.214066667</v>
      </c>
      <c r="BM233" s="1">
        <v>289563</v>
      </c>
      <c r="BN233" s="1">
        <v>5680000</v>
      </c>
      <c r="BO233" s="1">
        <v>0.051</v>
      </c>
      <c r="BP233" s="1">
        <v>0.182763</v>
      </c>
      <c r="BQ233" s="1">
        <v>24.933511</v>
      </c>
      <c r="BR233" s="1">
        <v>7018.08</v>
      </c>
      <c r="BS233" s="1">
        <v>957447</v>
      </c>
    </row>
    <row r="234" spans="1:71">
      <c r="A234" s="1" t="s">
        <v>90</v>
      </c>
      <c r="B234" s="1">
        <v>20</v>
      </c>
      <c r="C234" s="1">
        <v>116.117</v>
      </c>
      <c r="D234" s="1">
        <v>23.3383</v>
      </c>
      <c r="E234" s="1">
        <v>2015</v>
      </c>
      <c r="F234" s="1">
        <v>0.48742056382815</v>
      </c>
      <c r="G234" s="1">
        <v>7.31650992927545</v>
      </c>
      <c r="H234" s="1">
        <v>5.1128909948006</v>
      </c>
      <c r="I234" s="1">
        <v>5.03128723382711</v>
      </c>
      <c r="J234" s="1">
        <v>5.06259503302696</v>
      </c>
      <c r="K234" s="1">
        <v>5.41155676215454</v>
      </c>
      <c r="L234" s="1">
        <v>-0.5236365</v>
      </c>
      <c r="M234" s="1">
        <v>2.83321334405621</v>
      </c>
      <c r="N234" s="1">
        <v>1.3862944</v>
      </c>
      <c r="O234" s="1">
        <v>10.3499666367349</v>
      </c>
      <c r="P234" s="1">
        <v>165.15</v>
      </c>
      <c r="Q234" s="1">
        <v>152.13</v>
      </c>
      <c r="R234" s="1">
        <v>157</v>
      </c>
      <c r="S234" s="1">
        <v>222.98</v>
      </c>
      <c r="T234" s="1">
        <v>38.7</v>
      </c>
      <c r="U234" s="1">
        <v>16</v>
      </c>
      <c r="V234" s="1">
        <v>3</v>
      </c>
      <c r="W234" s="1">
        <v>31255</v>
      </c>
      <c r="X234" s="1">
        <v>0.231516754581341</v>
      </c>
      <c r="Y234" s="1">
        <v>6.1</v>
      </c>
      <c r="Z234" s="1">
        <v>0.596</v>
      </c>
      <c r="AA234" s="1">
        <v>7.00677128324327</v>
      </c>
      <c r="AB234" s="1">
        <f t="shared" si="9"/>
        <v>1.94687700767445</v>
      </c>
      <c r="AC234" s="1">
        <v>1.45940343100031</v>
      </c>
      <c r="AD234" s="1">
        <v>0.00171117888496181</v>
      </c>
      <c r="AE234" s="1">
        <v>1.00074183976261</v>
      </c>
      <c r="AF234" s="1">
        <v>1</v>
      </c>
      <c r="AG234" s="1">
        <v>0.36575</v>
      </c>
      <c r="AH234" s="2">
        <v>3.68135</v>
      </c>
      <c r="AI234" s="1">
        <v>217.423789982436</v>
      </c>
      <c r="AJ234" s="1">
        <v>0.110068750635012</v>
      </c>
      <c r="AK234" s="1">
        <v>0.136264685843429</v>
      </c>
      <c r="AL234" s="1">
        <v>0.0984768907563025</v>
      </c>
      <c r="AM234" s="1">
        <v>0.131420786922029</v>
      </c>
      <c r="AN234" s="1">
        <v>0</v>
      </c>
      <c r="AO234" s="1">
        <v>0.02770735</v>
      </c>
      <c r="AP234" s="1">
        <v>0.05655902</v>
      </c>
      <c r="AQ234" s="1">
        <v>0.03333045</v>
      </c>
      <c r="AR234" s="1">
        <v>0.03301891</v>
      </c>
      <c r="AS234" s="1">
        <v>0.05572213</v>
      </c>
      <c r="AT234" s="1">
        <v>0.03911615</v>
      </c>
      <c r="AU234" s="1">
        <v>0.11497432</v>
      </c>
      <c r="AV234" s="1">
        <v>0.02948703</v>
      </c>
      <c r="AW234" s="1">
        <v>0.05370826</v>
      </c>
      <c r="AX234" s="1">
        <v>0.03765816</v>
      </c>
      <c r="AY234" s="1">
        <v>0.02780761</v>
      </c>
      <c r="AZ234" s="1">
        <v>161</v>
      </c>
      <c r="BA234" s="1">
        <v>12.007</v>
      </c>
      <c r="BB234" s="1">
        <f t="shared" si="10"/>
        <v>5.08140436498446</v>
      </c>
      <c r="BC234" s="1">
        <v>0.000428</v>
      </c>
      <c r="BD234" s="1">
        <v>578.54</v>
      </c>
      <c r="BE234" s="1">
        <v>0.760582268238068</v>
      </c>
      <c r="BF234" s="1">
        <v>-135.365258</v>
      </c>
      <c r="BG234" s="1">
        <v>4.037913</v>
      </c>
      <c r="BH234" s="1">
        <v>1664.393028</v>
      </c>
      <c r="BI234" s="1">
        <f t="shared" si="11"/>
        <v>7.41721578820311</v>
      </c>
      <c r="BJ234" s="1">
        <v>3.214066667</v>
      </c>
      <c r="BM234" s="1">
        <v>289563</v>
      </c>
      <c r="BN234" s="1">
        <v>5680000</v>
      </c>
      <c r="BO234" s="1">
        <v>0.051</v>
      </c>
      <c r="BP234" s="1">
        <v>0.182763</v>
      </c>
      <c r="BQ234" s="1">
        <v>24.933511</v>
      </c>
      <c r="BR234" s="1">
        <v>7018.08</v>
      </c>
      <c r="BS234" s="1">
        <v>957447</v>
      </c>
    </row>
    <row r="235" spans="1:71">
      <c r="A235" s="1" t="s">
        <v>90</v>
      </c>
      <c r="B235" s="1">
        <v>20</v>
      </c>
      <c r="C235" s="1">
        <v>116.117</v>
      </c>
      <c r="D235" s="1">
        <v>23.3383</v>
      </c>
      <c r="E235" s="1">
        <v>2016</v>
      </c>
      <c r="F235" s="1">
        <v>0.472549456934312</v>
      </c>
      <c r="G235" s="1">
        <v>7.36894053731</v>
      </c>
      <c r="H235" s="1">
        <v>5.22306432620774</v>
      </c>
      <c r="I235" s="1">
        <v>5.08608806997691</v>
      </c>
      <c r="J235" s="1">
        <v>5.3573138731156</v>
      </c>
      <c r="K235" s="1">
        <v>5.37291312696371</v>
      </c>
      <c r="L235" s="1">
        <v>-0.5236365</v>
      </c>
      <c r="M235" s="1">
        <v>9.01201137703641</v>
      </c>
      <c r="N235" s="1">
        <v>0.6931472</v>
      </c>
      <c r="O235" s="1">
        <v>10.4051109655373</v>
      </c>
      <c r="P235" s="1">
        <v>184.501751921416</v>
      </c>
      <c r="Q235" s="1">
        <v>160.755845205103</v>
      </c>
      <c r="R235" s="1">
        <v>211.154306998025</v>
      </c>
      <c r="S235" s="1">
        <v>214.489703121749</v>
      </c>
      <c r="T235" s="1">
        <v>37.23</v>
      </c>
      <c r="U235" s="1">
        <v>8200</v>
      </c>
      <c r="V235" s="1">
        <v>1</v>
      </c>
      <c r="W235" s="1">
        <v>33027</v>
      </c>
      <c r="X235" s="1">
        <v>0.231969796988309</v>
      </c>
      <c r="Y235" s="1">
        <v>5.22</v>
      </c>
      <c r="Z235" s="1">
        <v>0.557300000019931</v>
      </c>
      <c r="AA235" s="1">
        <v>6.99865273261241</v>
      </c>
      <c r="AB235" s="1">
        <f t="shared" si="9"/>
        <v>1.94571766376155</v>
      </c>
      <c r="AC235" s="1">
        <v>1.49965548842712</v>
      </c>
      <c r="AD235" s="1">
        <v>0.00171362984218077</v>
      </c>
      <c r="AE235" s="1">
        <v>0.86406015037594</v>
      </c>
      <c r="AF235" s="1">
        <v>6</v>
      </c>
      <c r="AG235" s="1">
        <v>0.39204</v>
      </c>
      <c r="AH235" s="2">
        <v>3.64362</v>
      </c>
      <c r="AI235" s="1">
        <v>217.423789982436</v>
      </c>
      <c r="AJ235" s="1">
        <v>0.110068750635012</v>
      </c>
      <c r="AK235" s="1">
        <v>0.136264685843429</v>
      </c>
      <c r="AL235" s="1">
        <v>0.0984768907563025</v>
      </c>
      <c r="AM235" s="1">
        <v>0.131420786922029</v>
      </c>
      <c r="AN235" s="1">
        <v>0</v>
      </c>
      <c r="AO235" s="1">
        <v>0.02770735</v>
      </c>
      <c r="AP235" s="1">
        <v>0.05655902</v>
      </c>
      <c r="AQ235" s="1">
        <v>0.03333045</v>
      </c>
      <c r="AR235" s="1">
        <v>0.03301891</v>
      </c>
      <c r="AS235" s="1">
        <v>0.05572213</v>
      </c>
      <c r="AT235" s="1">
        <v>0.03911615</v>
      </c>
      <c r="AU235" s="1">
        <v>0.11497432</v>
      </c>
      <c r="AV235" s="1">
        <v>0.02948703</v>
      </c>
      <c r="AW235" s="1">
        <v>0.05370826</v>
      </c>
      <c r="AX235" s="1">
        <v>0.03765816</v>
      </c>
      <c r="AY235" s="1">
        <v>0.02780761</v>
      </c>
      <c r="AZ235" s="1">
        <v>271</v>
      </c>
      <c r="BA235" s="1">
        <v>11.944</v>
      </c>
      <c r="BB235" s="1">
        <f t="shared" si="10"/>
        <v>5.6021188208797</v>
      </c>
      <c r="BC235" s="1">
        <v>0.00046</v>
      </c>
      <c r="BD235" s="1">
        <v>576.6</v>
      </c>
      <c r="BE235" s="1">
        <v>0.926339626312256</v>
      </c>
      <c r="BF235" s="1">
        <v>-93.69178</v>
      </c>
      <c r="BG235" s="1">
        <v>3.800864</v>
      </c>
      <c r="BH235" s="1">
        <v>1804.25859</v>
      </c>
      <c r="BI235" s="1">
        <f t="shared" si="11"/>
        <v>7.49790503292207</v>
      </c>
      <c r="BJ235" s="1">
        <v>3.214066667</v>
      </c>
      <c r="BM235" s="1">
        <v>289563</v>
      </c>
      <c r="BN235" s="1">
        <v>5680000</v>
      </c>
      <c r="BO235" s="1">
        <v>0.051</v>
      </c>
      <c r="BP235" s="1">
        <v>0.182763</v>
      </c>
      <c r="BQ235" s="1">
        <v>24.933511</v>
      </c>
      <c r="BR235" s="1">
        <v>7018.08</v>
      </c>
      <c r="BS235" s="1">
        <v>957447</v>
      </c>
    </row>
    <row r="236" spans="1:71">
      <c r="A236" s="1" t="s">
        <v>90</v>
      </c>
      <c r="B236" s="1">
        <v>20</v>
      </c>
      <c r="C236" s="1">
        <v>116.117</v>
      </c>
      <c r="D236" s="1">
        <v>23.3383</v>
      </c>
      <c r="E236" s="1">
        <v>2017</v>
      </c>
      <c r="F236" s="1">
        <v>0.393909222424123</v>
      </c>
      <c r="G236" s="1">
        <v>7.40293003253276</v>
      </c>
      <c r="H236" s="1">
        <v>5.37997281474849</v>
      </c>
      <c r="I236" s="1">
        <v>5.21554092880377</v>
      </c>
      <c r="J236" s="1">
        <v>5.58511751346779</v>
      </c>
      <c r="K236" s="1">
        <v>5.46334879093545</v>
      </c>
      <c r="L236" s="1">
        <v>-0.5236365</v>
      </c>
      <c r="M236" s="1">
        <v>4.52688426758954</v>
      </c>
      <c r="N236" s="1">
        <v>2.1972246</v>
      </c>
      <c r="O236" s="1">
        <v>10.3933857166191</v>
      </c>
      <c r="P236" s="1">
        <v>216.016375652939</v>
      </c>
      <c r="Q236" s="1">
        <v>183.111385210199</v>
      </c>
      <c r="R236" s="1">
        <v>265.431590238355</v>
      </c>
      <c r="S236" s="1">
        <v>234.886036240862</v>
      </c>
      <c r="T236" s="1">
        <v>40.63</v>
      </c>
      <c r="U236" s="1">
        <v>91.47</v>
      </c>
      <c r="V236" s="1">
        <v>8</v>
      </c>
      <c r="W236" s="1">
        <v>32642</v>
      </c>
      <c r="X236" s="1">
        <v>0.213950265605489</v>
      </c>
      <c r="Y236" s="1">
        <v>6.44</v>
      </c>
      <c r="Z236" s="4">
        <v>0.5385</v>
      </c>
      <c r="AA236" s="1">
        <v>6.98822743639693</v>
      </c>
      <c r="AB236" s="1">
        <f t="shared" si="9"/>
        <v>1.94422693845038</v>
      </c>
      <c r="AC236" s="1">
        <v>1.58749517516521</v>
      </c>
      <c r="AD236" s="1">
        <v>0.00167752489331437</v>
      </c>
      <c r="AE236" s="1">
        <v>1.1069066862601</v>
      </c>
      <c r="AF236" s="1">
        <v>7</v>
      </c>
      <c r="AG236" s="1">
        <v>0.42698</v>
      </c>
      <c r="AH236" s="2">
        <v>3.72882</v>
      </c>
      <c r="AI236" s="1">
        <v>217.423789982436</v>
      </c>
      <c r="AJ236" s="1">
        <v>0.110068750635012</v>
      </c>
      <c r="AK236" s="1">
        <v>0.136264685843429</v>
      </c>
      <c r="AL236" s="1">
        <v>0.0984768907563025</v>
      </c>
      <c r="AM236" s="1">
        <v>0.131420786922029</v>
      </c>
      <c r="AN236" s="1">
        <v>0</v>
      </c>
      <c r="AO236" s="1">
        <v>0.02770735</v>
      </c>
      <c r="AP236" s="1">
        <v>0.05655902</v>
      </c>
      <c r="AQ236" s="1">
        <v>0.03333045</v>
      </c>
      <c r="AR236" s="1">
        <v>0.03301891</v>
      </c>
      <c r="AS236" s="1">
        <v>0.05572213</v>
      </c>
      <c r="AT236" s="1">
        <v>0.03911615</v>
      </c>
      <c r="AU236" s="1">
        <v>0.11497432</v>
      </c>
      <c r="AV236" s="1">
        <v>0.02948703</v>
      </c>
      <c r="AW236" s="1">
        <v>0.05370826</v>
      </c>
      <c r="AX236" s="1">
        <v>0.03765816</v>
      </c>
      <c r="AY236" s="1">
        <v>0.02780761</v>
      </c>
      <c r="AZ236" s="1">
        <v>428</v>
      </c>
      <c r="BA236" s="1">
        <v>11.793</v>
      </c>
      <c r="BB236" s="1">
        <f t="shared" si="10"/>
        <v>6.0591231955818</v>
      </c>
      <c r="BC236" s="1">
        <v>0</v>
      </c>
      <c r="BD236" s="1">
        <v>570.62</v>
      </c>
      <c r="BE236" s="1">
        <v>1.18367898464203</v>
      </c>
      <c r="BF236" s="1">
        <v>-79.85514</v>
      </c>
      <c r="BG236" s="1">
        <v>3.914999</v>
      </c>
      <c r="BH236" s="1">
        <v>1842.674092</v>
      </c>
      <c r="BI236" s="1">
        <f t="shared" si="11"/>
        <v>7.51897310643843</v>
      </c>
      <c r="BJ236" s="1">
        <v>3.214066667</v>
      </c>
      <c r="BM236" s="1">
        <v>289563</v>
      </c>
      <c r="BN236" s="1">
        <v>5680000</v>
      </c>
      <c r="BO236" s="1">
        <v>0.051</v>
      </c>
      <c r="BP236" s="1">
        <v>0.182763</v>
      </c>
      <c r="BQ236" s="1">
        <v>24.933511</v>
      </c>
      <c r="BR236" s="1">
        <v>7018.08</v>
      </c>
      <c r="BS236" s="1">
        <v>957447</v>
      </c>
    </row>
    <row r="237" spans="1:71">
      <c r="A237" s="1" t="s">
        <v>90</v>
      </c>
      <c r="B237" s="1">
        <v>20</v>
      </c>
      <c r="C237" s="1">
        <v>116.117</v>
      </c>
      <c r="D237" s="1">
        <v>23.3383</v>
      </c>
      <c r="E237" s="1">
        <v>2018</v>
      </c>
      <c r="F237" s="1">
        <v>0.49795314295194</v>
      </c>
      <c r="G237" s="1">
        <v>7.47513029580589</v>
      </c>
      <c r="H237" s="1">
        <v>5.46027553602429</v>
      </c>
      <c r="I237" s="1">
        <v>5.31808026168235</v>
      </c>
      <c r="J237" s="1">
        <v>5.58263396639466</v>
      </c>
      <c r="K237" s="1">
        <v>5.64360734734364</v>
      </c>
      <c r="L237" s="1">
        <v>-0.5236365</v>
      </c>
      <c r="M237" s="1">
        <v>3.00568260440715</v>
      </c>
      <c r="N237" s="1">
        <v>1.0986123</v>
      </c>
      <c r="O237" s="1">
        <v>10.4733082358086</v>
      </c>
      <c r="P237" s="1">
        <v>234.162211090508</v>
      </c>
      <c r="Q237" s="1">
        <v>202.991894845326</v>
      </c>
      <c r="R237" s="1">
        <v>264.770715830566</v>
      </c>
      <c r="S237" s="1">
        <v>281.479885815546</v>
      </c>
      <c r="T237" s="1">
        <v>44.48</v>
      </c>
      <c r="U237" s="1">
        <v>19.2</v>
      </c>
      <c r="V237" s="1">
        <v>2</v>
      </c>
      <c r="W237" s="1">
        <v>35358</v>
      </c>
      <c r="X237" s="1">
        <v>0.158622559841886</v>
      </c>
      <c r="Y237" s="1">
        <v>11.73</v>
      </c>
      <c r="Z237" s="1">
        <v>0.521700000013937</v>
      </c>
      <c r="AA237" s="1">
        <v>6.97976228020917</v>
      </c>
      <c r="AB237" s="1">
        <f t="shared" si="9"/>
        <v>1.9430148589177</v>
      </c>
      <c r="AC237" s="1">
        <v>1.58300473767765</v>
      </c>
      <c r="AD237" s="1">
        <v>0.00161602836879433</v>
      </c>
      <c r="AE237" s="1">
        <v>1.14726840855107</v>
      </c>
      <c r="AF237" s="1">
        <v>4</v>
      </c>
      <c r="AG237" s="1">
        <v>0.419368</v>
      </c>
      <c r="AH237" s="2">
        <v>3.81727</v>
      </c>
      <c r="AI237" s="1">
        <v>217.423789982436</v>
      </c>
      <c r="AJ237" s="1">
        <v>0.110068750635012</v>
      </c>
      <c r="AK237" s="1">
        <v>0.136264685843429</v>
      </c>
      <c r="AL237" s="1">
        <v>0.0984768907563025</v>
      </c>
      <c r="AM237" s="1">
        <v>0.131420786922029</v>
      </c>
      <c r="AN237" s="1">
        <v>0</v>
      </c>
      <c r="AO237" s="1">
        <v>0.02770735</v>
      </c>
      <c r="AP237" s="1">
        <v>0.05655902</v>
      </c>
      <c r="AQ237" s="1">
        <v>0.03333045</v>
      </c>
      <c r="AR237" s="1">
        <v>0.03301891</v>
      </c>
      <c r="AS237" s="1">
        <v>0.05572213</v>
      </c>
      <c r="AT237" s="1">
        <v>0.03911615</v>
      </c>
      <c r="AU237" s="1">
        <v>0.11497432</v>
      </c>
      <c r="AV237" s="1">
        <v>0.02948703</v>
      </c>
      <c r="AW237" s="1">
        <v>0.05370826</v>
      </c>
      <c r="AX237" s="1">
        <v>0.03765816</v>
      </c>
      <c r="AY237" s="1">
        <v>0.02780761</v>
      </c>
      <c r="AZ237" s="1">
        <v>504</v>
      </c>
      <c r="BA237" s="1">
        <v>11.393</v>
      </c>
      <c r="BB237" s="1">
        <f t="shared" si="10"/>
        <v>6.22257626807137</v>
      </c>
      <c r="BC237" s="1">
        <v>0.000153</v>
      </c>
      <c r="BD237" s="1">
        <v>565.81</v>
      </c>
      <c r="BE237" s="1">
        <v>1.28418385982513</v>
      </c>
      <c r="BF237" s="1">
        <v>-43.899006</v>
      </c>
      <c r="BG237" s="1">
        <v>1.199179</v>
      </c>
      <c r="BH237" s="1">
        <v>2002.0949</v>
      </c>
      <c r="BI237" s="1">
        <f t="shared" si="11"/>
        <v>7.6019493613491</v>
      </c>
      <c r="BJ237" s="1">
        <v>3.214066667</v>
      </c>
      <c r="BM237" s="1">
        <v>289563</v>
      </c>
      <c r="BN237" s="1">
        <v>5680000</v>
      </c>
      <c r="BO237" s="1">
        <v>0.051</v>
      </c>
      <c r="BP237" s="1">
        <v>0.182763</v>
      </c>
      <c r="BQ237" s="1">
        <v>24.933511</v>
      </c>
      <c r="BR237" s="1">
        <v>7018.08</v>
      </c>
      <c r="BS237" s="1">
        <v>957447</v>
      </c>
    </row>
    <row r="238" spans="1:71">
      <c r="A238" s="1" t="s">
        <v>90</v>
      </c>
      <c r="B238" s="1">
        <v>20</v>
      </c>
      <c r="C238" s="1">
        <v>116.117</v>
      </c>
      <c r="D238" s="1">
        <v>23.3383</v>
      </c>
      <c r="E238" s="1">
        <v>2019</v>
      </c>
      <c r="F238" s="1">
        <v>0.605150042501081</v>
      </c>
      <c r="G238" s="1">
        <v>7.45229806932592</v>
      </c>
      <c r="H238" s="1">
        <v>5.51566815616843</v>
      </c>
      <c r="I238" s="1">
        <v>5.39882110960644</v>
      </c>
      <c r="J238" s="1">
        <v>5.6197778963497</v>
      </c>
      <c r="K238" s="1">
        <v>5.66823193138226</v>
      </c>
      <c r="L238" s="1">
        <v>-0.5236365</v>
      </c>
      <c r="M238" s="1">
        <v>0</v>
      </c>
      <c r="N238" s="1">
        <v>1.7917595</v>
      </c>
      <c r="O238" s="1">
        <v>10.4479044720534</v>
      </c>
      <c r="P238" s="1">
        <v>247.555995993613</v>
      </c>
      <c r="Q238" s="1">
        <v>220.145556132145</v>
      </c>
      <c r="R238" s="1">
        <v>274.828114015628</v>
      </c>
      <c r="S238" s="1">
        <v>288.522186458606</v>
      </c>
      <c r="T238" s="1">
        <v>47.75</v>
      </c>
      <c r="U238" s="1">
        <v>0</v>
      </c>
      <c r="V238" s="1">
        <v>5</v>
      </c>
      <c r="W238" s="1">
        <v>34471.0618</v>
      </c>
      <c r="X238" s="1">
        <v>0.154441286047719</v>
      </c>
      <c r="Y238" s="1">
        <v>8.35</v>
      </c>
      <c r="Z238" s="1">
        <v>0.3896</v>
      </c>
      <c r="AA238" s="1">
        <v>6.97533938548968</v>
      </c>
      <c r="AB238" s="1">
        <f t="shared" si="9"/>
        <v>1.94238098394157</v>
      </c>
      <c r="AC238" s="1">
        <v>1.71111395844721</v>
      </c>
      <c r="AD238" s="1">
        <v>0.00152022630834512</v>
      </c>
      <c r="AE238" s="1">
        <v>1.47242152466368</v>
      </c>
      <c r="AF238" s="1">
        <v>0</v>
      </c>
      <c r="AG238" s="1">
        <v>0.392574</v>
      </c>
      <c r="AH238" s="2">
        <v>3.88671</v>
      </c>
      <c r="AI238" s="1">
        <v>217.423789982436</v>
      </c>
      <c r="AJ238" s="1">
        <v>0.110068750635012</v>
      </c>
      <c r="AK238" s="1">
        <v>0.136264685843429</v>
      </c>
      <c r="AL238" s="1">
        <v>0.0984768907563025</v>
      </c>
      <c r="AM238" s="1">
        <v>0.131420786922029</v>
      </c>
      <c r="AN238" s="1">
        <v>0</v>
      </c>
      <c r="AO238" s="1">
        <v>0.02770735</v>
      </c>
      <c r="AP238" s="1">
        <v>0.05655902</v>
      </c>
      <c r="AQ238" s="1">
        <v>0.03333045</v>
      </c>
      <c r="AR238" s="1">
        <v>0.03301891</v>
      </c>
      <c r="AS238" s="1">
        <v>0.05572213</v>
      </c>
      <c r="AT238" s="1">
        <v>0.03911615</v>
      </c>
      <c r="AU238" s="1">
        <v>0.11497432</v>
      </c>
      <c r="AV238" s="1">
        <v>0.02948703</v>
      </c>
      <c r="AW238" s="1">
        <v>0.05370826</v>
      </c>
      <c r="AX238" s="1">
        <v>0.03765816</v>
      </c>
      <c r="AY238" s="1">
        <v>0.02780761</v>
      </c>
      <c r="AZ238" s="1">
        <v>542</v>
      </c>
      <c r="BA238" s="1">
        <v>10.748</v>
      </c>
      <c r="BB238" s="1">
        <f t="shared" si="10"/>
        <v>6.29526600143965</v>
      </c>
      <c r="BC238" s="1">
        <v>0.000435</v>
      </c>
      <c r="BD238" s="1">
        <v>563.42</v>
      </c>
      <c r="BE238" s="1">
        <v>1.36237132549286</v>
      </c>
      <c r="BF238" s="1">
        <v>-33.681044</v>
      </c>
      <c r="BG238" s="1">
        <v>0.849202</v>
      </c>
      <c r="BH238" s="1">
        <v>2099.90939753871</v>
      </c>
      <c r="BI238" s="1">
        <f t="shared" si="11"/>
        <v>7.6496494787516</v>
      </c>
      <c r="BJ238" s="1">
        <v>3.214066667</v>
      </c>
      <c r="BM238" s="1">
        <v>289563</v>
      </c>
      <c r="BN238" s="1">
        <v>5680000</v>
      </c>
      <c r="BO238" s="1">
        <v>0.051</v>
      </c>
      <c r="BP238" s="1">
        <v>0.182763</v>
      </c>
      <c r="BQ238" s="1">
        <v>24.933511</v>
      </c>
      <c r="BR238" s="1">
        <v>7018.08</v>
      </c>
      <c r="BS238" s="1">
        <v>957447</v>
      </c>
    </row>
    <row r="239" spans="1:71">
      <c r="A239" s="1" t="s">
        <v>90</v>
      </c>
      <c r="B239" s="1">
        <v>20</v>
      </c>
      <c r="C239" s="1">
        <v>116.117</v>
      </c>
      <c r="D239" s="1">
        <v>23.3383</v>
      </c>
      <c r="E239" s="1">
        <v>2020</v>
      </c>
      <c r="F239" s="1">
        <v>0.80441555583484</v>
      </c>
      <c r="G239" s="1">
        <v>7.52899497146952</v>
      </c>
      <c r="H239" s="1">
        <v>5.56071212824279</v>
      </c>
      <c r="I239" s="1">
        <v>5.46647959019065</v>
      </c>
      <c r="J239" s="1">
        <v>5.66011534525599</v>
      </c>
      <c r="K239" s="1">
        <v>5.66244755590446</v>
      </c>
      <c r="L239" s="1">
        <v>-0.5236365</v>
      </c>
      <c r="M239" s="1">
        <v>5.94549913955435</v>
      </c>
      <c r="N239" s="1">
        <v>1.7917595</v>
      </c>
      <c r="O239" s="1">
        <v>10.5319903076841</v>
      </c>
      <c r="P239" s="1">
        <v>259.007929418406</v>
      </c>
      <c r="Q239" s="1">
        <v>235.625705323541</v>
      </c>
      <c r="R239" s="1">
        <v>286.181765671063</v>
      </c>
      <c r="S239" s="1">
        <v>286.852315720787</v>
      </c>
      <c r="T239" s="1">
        <v>23.84</v>
      </c>
      <c r="U239" s="1">
        <v>381.03</v>
      </c>
      <c r="V239" s="1">
        <v>5</v>
      </c>
      <c r="W239" s="1">
        <v>37495.0288</v>
      </c>
      <c r="X239" s="1">
        <v>0.092430713463423</v>
      </c>
      <c r="Y239" s="1">
        <v>17.93</v>
      </c>
      <c r="Z239" s="1">
        <v>0.3687</v>
      </c>
      <c r="AA239" s="1">
        <v>6.96525011282084</v>
      </c>
      <c r="AB239" s="1">
        <f t="shared" si="9"/>
        <v>1.94093351653976</v>
      </c>
      <c r="AC239" s="1">
        <v>1.81943343450008</v>
      </c>
      <c r="AD239" s="1">
        <v>0.00163211267605634</v>
      </c>
      <c r="AE239" s="1">
        <v>1.12</v>
      </c>
      <c r="AF239" s="1">
        <v>2</v>
      </c>
      <c r="AG239" s="1">
        <v>0.4684</v>
      </c>
      <c r="AH239" s="2">
        <v>3.21246</v>
      </c>
      <c r="AI239" s="1">
        <v>217.423789982436</v>
      </c>
      <c r="AJ239" s="1">
        <v>0.110068750635012</v>
      </c>
      <c r="AK239" s="1">
        <v>0.136264685843429</v>
      </c>
      <c r="AL239" s="1">
        <v>0.0984768907563025</v>
      </c>
      <c r="AM239" s="1">
        <v>0.131420786922029</v>
      </c>
      <c r="AN239" s="1">
        <v>0</v>
      </c>
      <c r="AO239" s="1">
        <v>0.02770735</v>
      </c>
      <c r="AP239" s="1">
        <v>0.05655902</v>
      </c>
      <c r="AQ239" s="1">
        <v>0.03333045</v>
      </c>
      <c r="AR239" s="1">
        <v>0.03301891</v>
      </c>
      <c r="AS239" s="1">
        <v>0.05572213</v>
      </c>
      <c r="AT239" s="1">
        <v>0.03911615</v>
      </c>
      <c r="AU239" s="1">
        <v>0.11497432</v>
      </c>
      <c r="AV239" s="1">
        <v>0.02948703</v>
      </c>
      <c r="AW239" s="1">
        <v>0.05370826</v>
      </c>
      <c r="AX239" s="1">
        <v>0.03765816</v>
      </c>
      <c r="AY239" s="1">
        <v>0.02780761</v>
      </c>
      <c r="AZ239" s="1">
        <v>782</v>
      </c>
      <c r="BA239" s="1">
        <v>11.588</v>
      </c>
      <c r="BB239" s="1">
        <f t="shared" si="10"/>
        <v>6.66185474054531</v>
      </c>
      <c r="BC239" s="1">
        <v>0.000561</v>
      </c>
      <c r="BD239" s="1">
        <v>557.87</v>
      </c>
      <c r="BE239" s="1">
        <v>1.44942927360535</v>
      </c>
      <c r="BF239" s="1">
        <v>-3.142085</v>
      </c>
      <c r="BG239" s="1">
        <v>0.0244169999999999</v>
      </c>
      <c r="BH239" s="1">
        <v>2102.14</v>
      </c>
      <c r="BI239" s="1">
        <f t="shared" si="11"/>
        <v>7.65071115245401</v>
      </c>
      <c r="BJ239" s="1">
        <v>3.214066667</v>
      </c>
      <c r="BM239" s="1">
        <v>289563</v>
      </c>
      <c r="BN239" s="1">
        <v>5680000</v>
      </c>
      <c r="BO239" s="1">
        <v>0.051</v>
      </c>
      <c r="BP239" s="1">
        <v>0.182763</v>
      </c>
      <c r="BQ239" s="1">
        <v>24.933511</v>
      </c>
      <c r="BR239" s="1">
        <v>7018.08</v>
      </c>
      <c r="BS239" s="1">
        <v>957447</v>
      </c>
    </row>
    <row r="240" spans="1:71">
      <c r="A240" s="1" t="s">
        <v>90</v>
      </c>
      <c r="B240" s="1">
        <v>20</v>
      </c>
      <c r="C240" s="1">
        <v>116.117</v>
      </c>
      <c r="D240" s="1">
        <v>23.3383</v>
      </c>
      <c r="E240" s="1">
        <v>2021</v>
      </c>
      <c r="F240" s="1">
        <v>1.15931361252855</v>
      </c>
      <c r="G240" s="1">
        <v>7.60808368520744</v>
      </c>
      <c r="H240" s="1">
        <v>5.67455229099365</v>
      </c>
      <c r="I240" s="1">
        <v>5.62609998001506</v>
      </c>
      <c r="J240" s="1">
        <v>5.75053644623944</v>
      </c>
      <c r="K240" s="1">
        <v>5.68725050695699</v>
      </c>
      <c r="L240" s="1">
        <v>-0.5236365</v>
      </c>
      <c r="M240" s="1">
        <v>0</v>
      </c>
      <c r="N240" s="1">
        <v>1.609438</v>
      </c>
      <c r="O240" s="1">
        <v>10.2644249856467</v>
      </c>
      <c r="P240" s="1">
        <v>290.357865760936</v>
      </c>
      <c r="Q240" s="1">
        <v>276.577446258611</v>
      </c>
      <c r="R240" s="1">
        <v>313.359251905772</v>
      </c>
      <c r="S240" s="1">
        <v>294.081180635103</v>
      </c>
      <c r="T240" s="1">
        <v>28.3</v>
      </c>
      <c r="U240" s="1">
        <v>0</v>
      </c>
      <c r="V240" s="1">
        <v>4</v>
      </c>
      <c r="W240" s="1">
        <v>28692.4739</v>
      </c>
      <c r="X240" s="1">
        <v>0.083185273707299</v>
      </c>
      <c r="Y240" s="1">
        <v>10.86</v>
      </c>
      <c r="Z240" s="1">
        <v>0.3673</v>
      </c>
      <c r="AA240" s="1">
        <v>6.971866601822</v>
      </c>
      <c r="AB240" s="1">
        <f t="shared" si="9"/>
        <v>1.94188299405849</v>
      </c>
      <c r="AC240" s="1">
        <v>1.8193987810708</v>
      </c>
      <c r="AD240" s="1">
        <v>0.0016687237026648</v>
      </c>
      <c r="AE240" s="1">
        <v>1.10469392169587</v>
      </c>
      <c r="AF240" s="1">
        <v>0</v>
      </c>
      <c r="AG240" s="1">
        <v>0.451082</v>
      </c>
      <c r="AH240" s="2">
        <v>3.37759</v>
      </c>
      <c r="AI240" s="1">
        <v>217.423789982436</v>
      </c>
      <c r="AJ240" s="1">
        <v>0.110068750635012</v>
      </c>
      <c r="AK240" s="1">
        <v>0.136264685843429</v>
      </c>
      <c r="AL240" s="1">
        <v>0.0984768907563025</v>
      </c>
      <c r="AM240" s="1">
        <v>0.131420786922029</v>
      </c>
      <c r="AN240" s="1">
        <v>0</v>
      </c>
      <c r="AO240" s="1">
        <v>0.02770735</v>
      </c>
      <c r="AP240" s="1">
        <v>0.05655902</v>
      </c>
      <c r="AQ240" s="1">
        <v>0.03333045</v>
      </c>
      <c r="AR240" s="1">
        <v>0.03301891</v>
      </c>
      <c r="AS240" s="1">
        <v>0.05572213</v>
      </c>
      <c r="AT240" s="1">
        <v>0.03911615</v>
      </c>
      <c r="AU240" s="1">
        <v>0.11497432</v>
      </c>
      <c r="AV240" s="1">
        <v>0.02948703</v>
      </c>
      <c r="AW240" s="1">
        <v>0.05370826</v>
      </c>
      <c r="AX240" s="1">
        <v>0.03765816</v>
      </c>
      <c r="AY240" s="1">
        <v>0.02780761</v>
      </c>
      <c r="AZ240" s="1">
        <v>590</v>
      </c>
      <c r="BA240" s="1">
        <v>11.898</v>
      </c>
      <c r="BB240" s="1">
        <f t="shared" si="10"/>
        <v>6.38012253689977</v>
      </c>
      <c r="BC240" s="1">
        <v>0.000125</v>
      </c>
      <c r="BD240" s="1">
        <v>561.68</v>
      </c>
      <c r="BE240" s="1">
        <v>1.47729349136353</v>
      </c>
      <c r="BF240" s="1">
        <v>488.829927</v>
      </c>
      <c r="BG240" s="1">
        <v>-0.108361</v>
      </c>
      <c r="BH240" s="1">
        <v>2265.431</v>
      </c>
      <c r="BI240" s="1">
        <f t="shared" si="11"/>
        <v>7.72552030679058</v>
      </c>
      <c r="BJ240" s="1">
        <v>3.214066667</v>
      </c>
      <c r="BM240" s="1">
        <v>289563</v>
      </c>
      <c r="BN240" s="1">
        <v>5680000</v>
      </c>
      <c r="BO240" s="1">
        <v>0.051</v>
      </c>
      <c r="BP240" s="1">
        <v>0.182763</v>
      </c>
      <c r="BQ240" s="1">
        <v>24.933511</v>
      </c>
      <c r="BR240" s="1">
        <v>7018.08</v>
      </c>
      <c r="BS240" s="1">
        <v>957447</v>
      </c>
    </row>
    <row r="241" spans="1:71">
      <c r="A241" s="1" t="s">
        <v>90</v>
      </c>
      <c r="B241" s="1">
        <v>20</v>
      </c>
      <c r="C241" s="1">
        <v>116.117</v>
      </c>
      <c r="D241" s="1">
        <v>23.3383</v>
      </c>
      <c r="E241" s="1">
        <v>2022</v>
      </c>
      <c r="F241" s="1">
        <v>1.14757504816204</v>
      </c>
      <c r="G241" s="1">
        <v>7.26417834480223</v>
      </c>
      <c r="H241" s="1">
        <v>5.68498359783392</v>
      </c>
      <c r="I241" s="1">
        <v>5.69349520568576</v>
      </c>
      <c r="J241" s="1">
        <v>5.65716481209527</v>
      </c>
      <c r="K241" s="1">
        <v>5.70644203887788</v>
      </c>
      <c r="L241" s="1">
        <v>-0.5236365</v>
      </c>
      <c r="M241" s="1">
        <v>0</v>
      </c>
      <c r="N241" s="1">
        <v>2.5649493</v>
      </c>
      <c r="O241" s="1">
        <v>10.6014481300916</v>
      </c>
      <c r="P241" s="1">
        <v>293.413016043532</v>
      </c>
      <c r="Q241" s="1">
        <v>295.929639185888</v>
      </c>
      <c r="R241" s="1">
        <v>285.335675200915</v>
      </c>
      <c r="S241" s="1">
        <v>299.798931188172</v>
      </c>
      <c r="T241" s="1">
        <v>27.63</v>
      </c>
      <c r="U241" s="1">
        <v>0</v>
      </c>
      <c r="V241" s="1">
        <v>12</v>
      </c>
      <c r="W241" s="1">
        <v>40192</v>
      </c>
      <c r="X241" s="1">
        <v>0.0719157434088735</v>
      </c>
      <c r="Y241" s="1">
        <v>13.82</v>
      </c>
      <c r="Z241" s="1">
        <v>0.351</v>
      </c>
      <c r="AA241" s="1">
        <v>6.97475210643042</v>
      </c>
      <c r="AB241" s="1">
        <f t="shared" si="9"/>
        <v>1.94229678677914</v>
      </c>
      <c r="AC241" s="1">
        <v>1.97018685532357</v>
      </c>
      <c r="AD241" s="1">
        <v>0.0020890603085554</v>
      </c>
      <c r="AE241" s="1">
        <v>1.29411764705882</v>
      </c>
      <c r="AF241" s="1">
        <v>0</v>
      </c>
      <c r="AG241" s="1">
        <v>0.499632</v>
      </c>
      <c r="AH241" s="2">
        <v>3.35446</v>
      </c>
      <c r="AI241" s="1">
        <v>217.423789982436</v>
      </c>
      <c r="AJ241" s="1">
        <v>0.110068750635012</v>
      </c>
      <c r="AK241" s="1">
        <v>0.136264685843429</v>
      </c>
      <c r="AL241" s="1">
        <v>0.0984768907563025</v>
      </c>
      <c r="AM241" s="1">
        <v>0.131420786922029</v>
      </c>
      <c r="AN241" s="1">
        <v>0</v>
      </c>
      <c r="AO241" s="1">
        <v>0.02770735</v>
      </c>
      <c r="AP241" s="1">
        <v>0.05655902</v>
      </c>
      <c r="AQ241" s="1">
        <v>0.03333045</v>
      </c>
      <c r="AR241" s="1">
        <v>0.03301891</v>
      </c>
      <c r="AS241" s="1">
        <v>0.05572213</v>
      </c>
      <c r="AT241" s="1">
        <v>0.03911615</v>
      </c>
      <c r="AU241" s="1">
        <v>0.11497432</v>
      </c>
      <c r="AV241" s="1">
        <v>0.02948703</v>
      </c>
      <c r="AW241" s="1">
        <v>0.05370826</v>
      </c>
      <c r="AX241" s="1">
        <v>0.03765816</v>
      </c>
      <c r="AY241" s="1">
        <v>0.02780761</v>
      </c>
      <c r="AZ241" s="1">
        <v>485</v>
      </c>
      <c r="BA241" s="1">
        <v>14.895</v>
      </c>
      <c r="BB241" s="1">
        <f t="shared" si="10"/>
        <v>6.18414889093748</v>
      </c>
      <c r="BC241" s="1">
        <v>0</v>
      </c>
      <c r="BD241" s="1">
        <v>563.41</v>
      </c>
      <c r="BE241" s="1">
        <v>1.56712995047945</v>
      </c>
      <c r="BF241" s="1">
        <v>10771.4664409</v>
      </c>
      <c r="BG241" s="1">
        <v>-0.667848</v>
      </c>
      <c r="BH241" s="1">
        <v>2260.98</v>
      </c>
      <c r="BI241" s="1">
        <f t="shared" si="11"/>
        <v>7.72355362659533</v>
      </c>
      <c r="BJ241" s="1">
        <v>3.214066667</v>
      </c>
      <c r="BM241" s="1">
        <v>289563</v>
      </c>
      <c r="BN241" s="1">
        <v>5680000</v>
      </c>
      <c r="BO241" s="1">
        <v>0.051</v>
      </c>
      <c r="BP241" s="1">
        <v>0.182763</v>
      </c>
      <c r="BQ241" s="1">
        <v>24.933511</v>
      </c>
      <c r="BR241" s="1">
        <v>7018.08</v>
      </c>
      <c r="BS241" s="1">
        <v>957447</v>
      </c>
    </row>
    <row r="242" spans="1:71">
      <c r="A242" s="1" t="s">
        <v>91</v>
      </c>
      <c r="B242" s="1">
        <v>21</v>
      </c>
      <c r="C242" s="1">
        <v>111.794</v>
      </c>
      <c r="D242" s="1">
        <v>22.8159</v>
      </c>
      <c r="E242" s="1">
        <v>2011</v>
      </c>
      <c r="F242" s="1">
        <v>0.276983936558163</v>
      </c>
      <c r="G242" s="1">
        <v>6.48975982369664</v>
      </c>
      <c r="H242" s="1">
        <v>4.09584343834583</v>
      </c>
      <c r="I242" s="1">
        <v>3.73862154600875</v>
      </c>
      <c r="J242" s="1">
        <v>4.3408139388398</v>
      </c>
      <c r="K242" s="1">
        <v>4.49312068217946</v>
      </c>
      <c r="L242" s="1">
        <v>-0.2231272</v>
      </c>
      <c r="M242" s="1">
        <v>1.38629436111989</v>
      </c>
      <c r="N242" s="1">
        <v>0</v>
      </c>
      <c r="O242" s="1">
        <v>9.91852393736224</v>
      </c>
      <c r="P242" s="1">
        <v>59.09</v>
      </c>
      <c r="Q242" s="1">
        <v>41.04</v>
      </c>
      <c r="R242" s="1">
        <v>75.77</v>
      </c>
      <c r="S242" s="1">
        <v>88.4</v>
      </c>
      <c r="T242" s="1">
        <v>20.28</v>
      </c>
      <c r="U242" s="1">
        <v>3</v>
      </c>
      <c r="V242" s="1">
        <v>0</v>
      </c>
      <c r="W242" s="1">
        <v>20302</v>
      </c>
      <c r="X242" s="1">
        <v>0.182895756689645</v>
      </c>
      <c r="Y242" s="1">
        <v>9.24</v>
      </c>
      <c r="Z242" s="1">
        <v>0.424700000062323</v>
      </c>
      <c r="AA242" s="1">
        <v>5.72309178048125</v>
      </c>
      <c r="AB242" s="1">
        <f t="shared" si="9"/>
        <v>1.74450918042597</v>
      </c>
      <c r="AC242" s="1">
        <v>1.90047304853198</v>
      </c>
      <c r="AD242" s="1">
        <v>0.00310415938483048</v>
      </c>
      <c r="AE242" s="1">
        <v>1.06662584200857</v>
      </c>
      <c r="AF242" s="1">
        <v>1</v>
      </c>
      <c r="AG242" s="1">
        <v>0.349742</v>
      </c>
      <c r="AH242" s="2">
        <v>3.05777</v>
      </c>
      <c r="AI242" s="1">
        <v>187.696068925915</v>
      </c>
      <c r="AJ242" s="1">
        <v>0.176865827681133</v>
      </c>
      <c r="AK242" s="1">
        <v>0.21241705956777</v>
      </c>
      <c r="AL242" s="1">
        <v>0.181448136184174</v>
      </c>
      <c r="AM242" s="1">
        <v>0.517202608500112</v>
      </c>
      <c r="AN242" s="1">
        <v>0</v>
      </c>
      <c r="AO242" s="1">
        <v>0.03882258</v>
      </c>
      <c r="AP242" s="1">
        <v>0.05626989</v>
      </c>
      <c r="AQ242" s="1">
        <v>0.04646274</v>
      </c>
      <c r="AR242" s="1">
        <v>0.0299332</v>
      </c>
      <c r="AS242" s="1">
        <v>0.05547267</v>
      </c>
      <c r="AT242" s="1">
        <v>0.03530189</v>
      </c>
      <c r="AU242" s="1">
        <v>0.05415683</v>
      </c>
      <c r="AV242" s="1">
        <v>0.05180203</v>
      </c>
      <c r="AW242" s="1">
        <v>0.05111235</v>
      </c>
      <c r="AX242" s="1">
        <v>0.09640285</v>
      </c>
      <c r="AY242" s="1">
        <v>0.07500592</v>
      </c>
      <c r="AZ242" s="1">
        <v>46</v>
      </c>
      <c r="BA242" s="1">
        <v>8.881</v>
      </c>
      <c r="BB242" s="1">
        <f t="shared" si="10"/>
        <v>3.82864139648909</v>
      </c>
      <c r="BC242" s="1">
        <v>0.000235</v>
      </c>
      <c r="BD242" s="1">
        <v>286.1</v>
      </c>
      <c r="BE242" s="1">
        <v>0.768783032894135</v>
      </c>
      <c r="BF242" s="1">
        <v>-63.794587</v>
      </c>
      <c r="BG242" s="1">
        <v>0.8332385</v>
      </c>
      <c r="BH242" s="1">
        <v>471.454794</v>
      </c>
      <c r="BI242" s="1">
        <f t="shared" si="11"/>
        <v>6.15582322048868</v>
      </c>
      <c r="BJ242" s="1">
        <v>3.301158333</v>
      </c>
      <c r="BM242" s="1">
        <v>156892</v>
      </c>
      <c r="BN242" s="1">
        <v>2510000</v>
      </c>
      <c r="BO242" s="1">
        <v>0.0625</v>
      </c>
      <c r="BP242" s="1">
        <v>0.18829</v>
      </c>
      <c r="BQ242" s="1">
        <v>46.468401</v>
      </c>
      <c r="BR242" s="1">
        <v>7230.33</v>
      </c>
      <c r="BS242" s="3">
        <v>1800000</v>
      </c>
    </row>
    <row r="243" spans="1:71">
      <c r="A243" s="1" t="s">
        <v>91</v>
      </c>
      <c r="B243" s="1">
        <v>21</v>
      </c>
      <c r="C243" s="1">
        <v>111.794</v>
      </c>
      <c r="D243" s="1">
        <v>22.8159</v>
      </c>
      <c r="E243" s="1">
        <v>2012</v>
      </c>
      <c r="F243" s="1">
        <v>0.296560916731339</v>
      </c>
      <c r="G243" s="1">
        <v>6.49333626387413</v>
      </c>
      <c r="H243" s="1">
        <v>4.53742653390157</v>
      </c>
      <c r="I243" s="1">
        <v>4.31615389052317</v>
      </c>
      <c r="J243" s="1">
        <v>4.63686263272058</v>
      </c>
      <c r="K243" s="1">
        <v>4.91961589570908</v>
      </c>
      <c r="L243" s="1">
        <v>-0.2231272</v>
      </c>
      <c r="M243" s="1">
        <v>6.3985949345352</v>
      </c>
      <c r="N243" s="1">
        <v>0</v>
      </c>
      <c r="O243" s="1">
        <v>10.0230467875937</v>
      </c>
      <c r="P243" s="1">
        <v>92.45</v>
      </c>
      <c r="Q243" s="1">
        <v>73.9</v>
      </c>
      <c r="R243" s="1">
        <v>102.22</v>
      </c>
      <c r="S243" s="1">
        <v>135.95</v>
      </c>
      <c r="T243" s="1">
        <v>23.46</v>
      </c>
      <c r="U243" s="1">
        <v>600</v>
      </c>
      <c r="V243" s="1">
        <v>0</v>
      </c>
      <c r="W243" s="1">
        <v>22539</v>
      </c>
      <c r="X243" s="1">
        <v>0.169821633625646</v>
      </c>
      <c r="Y243" s="1">
        <v>2.84</v>
      </c>
      <c r="Z243" s="1">
        <v>0.441799999962994</v>
      </c>
      <c r="AA243" s="1">
        <v>5.7386476960605</v>
      </c>
      <c r="AB243" s="1">
        <f t="shared" si="9"/>
        <v>1.74722358955426</v>
      </c>
      <c r="AC243" s="1">
        <v>1.95094526888179</v>
      </c>
      <c r="AD243" s="1">
        <v>0.0024184668989547</v>
      </c>
      <c r="AE243" s="1">
        <v>0.762364816149964</v>
      </c>
      <c r="AF243" s="1">
        <v>1</v>
      </c>
      <c r="AG243" s="1">
        <v>0.376256</v>
      </c>
      <c r="AH243" s="2">
        <v>3.19704</v>
      </c>
      <c r="AI243" s="1">
        <v>187.696068925915</v>
      </c>
      <c r="AJ243" s="1">
        <v>0.176865827681133</v>
      </c>
      <c r="AK243" s="1">
        <v>0.21241705956777</v>
      </c>
      <c r="AL243" s="1">
        <v>0.181448136184174</v>
      </c>
      <c r="AM243" s="1">
        <v>0.517202608500112</v>
      </c>
      <c r="AN243" s="1">
        <v>0</v>
      </c>
      <c r="AO243" s="1">
        <v>0.03882258</v>
      </c>
      <c r="AP243" s="1">
        <v>0.05626989</v>
      </c>
      <c r="AQ243" s="1">
        <v>0.04646274</v>
      </c>
      <c r="AR243" s="1">
        <v>0.0299332</v>
      </c>
      <c r="AS243" s="1">
        <v>0.05547267</v>
      </c>
      <c r="AT243" s="1">
        <v>0.03530189</v>
      </c>
      <c r="AU243" s="1">
        <v>0.05415683</v>
      </c>
      <c r="AV243" s="1">
        <v>0.05180203</v>
      </c>
      <c r="AW243" s="1">
        <v>0.05111235</v>
      </c>
      <c r="AX243" s="1">
        <v>0.09640285</v>
      </c>
      <c r="AY243" s="1">
        <v>0.07500592</v>
      </c>
      <c r="AZ243" s="1">
        <v>87</v>
      </c>
      <c r="BA243" s="1">
        <v>6.941</v>
      </c>
      <c r="BB243" s="1">
        <f t="shared" si="10"/>
        <v>4.46590811865458</v>
      </c>
      <c r="BC243" s="1">
        <v>0.000165</v>
      </c>
      <c r="BD243" s="1">
        <v>287</v>
      </c>
      <c r="BE243" s="1">
        <v>0.722494423389435</v>
      </c>
      <c r="BF243" s="1">
        <v>-40.048665</v>
      </c>
      <c r="BG243" s="1">
        <v>0.9494837</v>
      </c>
      <c r="BH243" s="1">
        <v>524.281939</v>
      </c>
      <c r="BI243" s="1">
        <f t="shared" si="11"/>
        <v>6.26202959114994</v>
      </c>
      <c r="BJ243" s="1">
        <v>3.301158333</v>
      </c>
      <c r="BM243" s="1">
        <v>156892</v>
      </c>
      <c r="BN243" s="1">
        <v>2510000</v>
      </c>
      <c r="BO243" s="1">
        <v>0.0625</v>
      </c>
      <c r="BP243" s="1">
        <v>0.18829</v>
      </c>
      <c r="BQ243" s="1">
        <v>46.468401</v>
      </c>
      <c r="BR243" s="1">
        <v>7230.33</v>
      </c>
      <c r="BS243" s="3">
        <v>1800000</v>
      </c>
    </row>
    <row r="244" spans="1:71">
      <c r="A244" s="1" t="s">
        <v>91</v>
      </c>
      <c r="B244" s="1">
        <v>21</v>
      </c>
      <c r="C244" s="1">
        <v>111.794</v>
      </c>
      <c r="D244" s="1">
        <v>22.8159</v>
      </c>
      <c r="E244" s="1">
        <v>2013</v>
      </c>
      <c r="F244" s="1">
        <v>0.275764314226308</v>
      </c>
      <c r="G244" s="1">
        <v>6.52455029325987</v>
      </c>
      <c r="H244" s="1">
        <v>4.83174783403658</v>
      </c>
      <c r="I244" s="1">
        <v>4.65033473794246</v>
      </c>
      <c r="J244" s="1">
        <v>4.89798904254502</v>
      </c>
      <c r="K244" s="1">
        <v>5.18486867404045</v>
      </c>
      <c r="L244" s="1">
        <v>-0.2231272</v>
      </c>
      <c r="M244" s="1">
        <v>0</v>
      </c>
      <c r="N244" s="1">
        <v>0</v>
      </c>
      <c r="O244" s="1">
        <v>10.1211762531673</v>
      </c>
      <c r="P244" s="1">
        <v>124.43</v>
      </c>
      <c r="Q244" s="1">
        <v>103.62</v>
      </c>
      <c r="R244" s="1">
        <v>133.02</v>
      </c>
      <c r="S244" s="1">
        <v>177.55</v>
      </c>
      <c r="T244" s="1">
        <v>34.49</v>
      </c>
      <c r="U244" s="1">
        <v>0</v>
      </c>
      <c r="V244" s="1">
        <v>0</v>
      </c>
      <c r="W244" s="1">
        <v>24863</v>
      </c>
      <c r="X244" s="1">
        <v>0.162759692445114</v>
      </c>
      <c r="Y244" s="1">
        <v>11.5</v>
      </c>
      <c r="Z244" s="1">
        <v>0.4311</v>
      </c>
      <c r="AA244" s="1">
        <v>5.74278907797032</v>
      </c>
      <c r="AB244" s="1">
        <f t="shared" si="9"/>
        <v>1.74794499440471</v>
      </c>
      <c r="AC244" s="1">
        <v>2.01962878902339</v>
      </c>
      <c r="AD244" s="1">
        <v>0.00256114364450568</v>
      </c>
      <c r="AE244" s="1">
        <v>0.714435616849048</v>
      </c>
      <c r="AF244" s="1">
        <v>0</v>
      </c>
      <c r="AG244" s="1">
        <v>0.360558</v>
      </c>
      <c r="AH244" s="2">
        <v>3.56925</v>
      </c>
      <c r="AI244" s="1">
        <v>187.696068925915</v>
      </c>
      <c r="AJ244" s="1">
        <v>0.176865827681133</v>
      </c>
      <c r="AK244" s="1">
        <v>0.21241705956777</v>
      </c>
      <c r="AL244" s="1">
        <v>0.181448136184174</v>
      </c>
      <c r="AM244" s="1">
        <v>0.517202608500112</v>
      </c>
      <c r="AN244" s="1">
        <v>0</v>
      </c>
      <c r="AO244" s="1">
        <v>0.03882258</v>
      </c>
      <c r="AP244" s="1">
        <v>0.05626989</v>
      </c>
      <c r="AQ244" s="1">
        <v>0.04646274</v>
      </c>
      <c r="AR244" s="1">
        <v>0.0299332</v>
      </c>
      <c r="AS244" s="1">
        <v>0.05547267</v>
      </c>
      <c r="AT244" s="1">
        <v>0.03530189</v>
      </c>
      <c r="AU244" s="1">
        <v>0.05415683</v>
      </c>
      <c r="AV244" s="1">
        <v>0.05180203</v>
      </c>
      <c r="AW244" s="1">
        <v>0.05111235</v>
      </c>
      <c r="AX244" s="1">
        <v>0.09640285</v>
      </c>
      <c r="AY244" s="1">
        <v>0.07500592</v>
      </c>
      <c r="AZ244" s="1">
        <v>97</v>
      </c>
      <c r="BA244" s="1">
        <v>7.435</v>
      </c>
      <c r="BB244" s="1">
        <f t="shared" si="10"/>
        <v>4.57471097850338</v>
      </c>
      <c r="BC244" s="1">
        <v>0</v>
      </c>
      <c r="BD244" s="1">
        <v>290.3</v>
      </c>
      <c r="BE244" s="1">
        <v>0.798883140087128</v>
      </c>
      <c r="BF244" s="1">
        <v>-42.231881</v>
      </c>
      <c r="BG244" s="1">
        <v>0.5520782</v>
      </c>
      <c r="BH244" s="1">
        <v>596.66502786962</v>
      </c>
      <c r="BI244" s="1">
        <f t="shared" si="11"/>
        <v>6.39135586357569</v>
      </c>
      <c r="BJ244" s="1">
        <v>3.301158333</v>
      </c>
      <c r="BM244" s="1">
        <v>156892</v>
      </c>
      <c r="BN244" s="1">
        <v>2510000</v>
      </c>
      <c r="BO244" s="1">
        <v>0.0625</v>
      </c>
      <c r="BP244" s="1">
        <v>0.18829</v>
      </c>
      <c r="BQ244" s="1">
        <v>46.468401</v>
      </c>
      <c r="BR244" s="1">
        <v>7230.33</v>
      </c>
      <c r="BS244" s="3">
        <v>1800000</v>
      </c>
    </row>
    <row r="245" spans="1:71">
      <c r="A245" s="1" t="s">
        <v>91</v>
      </c>
      <c r="B245" s="1">
        <v>21</v>
      </c>
      <c r="C245" s="1">
        <v>111.794</v>
      </c>
      <c r="D245" s="1">
        <v>22.8159</v>
      </c>
      <c r="E245" s="1">
        <v>2014</v>
      </c>
      <c r="F245" s="1">
        <v>0.266645800435089</v>
      </c>
      <c r="G245" s="1">
        <v>6.42055523938452</v>
      </c>
      <c r="H245" s="1">
        <v>4.91983492976975</v>
      </c>
      <c r="I245" s="1">
        <v>4.92529524692924</v>
      </c>
      <c r="J245" s="1">
        <v>4.82438603396432</v>
      </c>
      <c r="K245" s="1">
        <v>5.05720076324357</v>
      </c>
      <c r="L245" s="1">
        <v>-0.2231272</v>
      </c>
      <c r="M245" s="1">
        <v>0</v>
      </c>
      <c r="N245" s="1">
        <v>1.3862944</v>
      </c>
      <c r="O245" s="1">
        <v>10.2129188857748</v>
      </c>
      <c r="P245" s="1">
        <v>135.98</v>
      </c>
      <c r="Q245" s="1">
        <v>136.73</v>
      </c>
      <c r="R245" s="1">
        <v>123.51</v>
      </c>
      <c r="S245" s="1">
        <v>156.15</v>
      </c>
      <c r="T245" s="1">
        <v>42.27</v>
      </c>
      <c r="U245" s="1">
        <v>0</v>
      </c>
      <c r="V245" s="1">
        <v>3</v>
      </c>
      <c r="W245" s="1">
        <v>27252</v>
      </c>
      <c r="X245" s="1">
        <v>0.166414459654509</v>
      </c>
      <c r="Y245" s="1">
        <v>3.67</v>
      </c>
      <c r="Z245" s="1">
        <v>0.44110000003012</v>
      </c>
      <c r="AA245" s="1">
        <v>5.7494379840572</v>
      </c>
      <c r="AB245" s="1">
        <f t="shared" si="9"/>
        <v>1.74910210812911</v>
      </c>
      <c r="AC245" s="1">
        <v>2.04755748753623</v>
      </c>
      <c r="AD245" s="1">
        <v>0.00365329707681849</v>
      </c>
      <c r="AE245" s="1">
        <v>0.906725070858026</v>
      </c>
      <c r="AF245" s="1">
        <v>0</v>
      </c>
      <c r="AG245" s="1">
        <v>0.377808</v>
      </c>
      <c r="AH245" s="2">
        <v>3.76746</v>
      </c>
      <c r="AI245" s="1">
        <v>187.696068925915</v>
      </c>
      <c r="AJ245" s="1">
        <v>0.176865827681133</v>
      </c>
      <c r="AK245" s="1">
        <v>0.21241705956777</v>
      </c>
      <c r="AL245" s="1">
        <v>0.181448136184174</v>
      </c>
      <c r="AM245" s="1">
        <v>0.517202608500112</v>
      </c>
      <c r="AN245" s="1">
        <v>0</v>
      </c>
      <c r="AO245" s="1">
        <v>0.03882258</v>
      </c>
      <c r="AP245" s="1">
        <v>0.05626989</v>
      </c>
      <c r="AQ245" s="1">
        <v>0.04646274</v>
      </c>
      <c r="AR245" s="1">
        <v>0.0299332</v>
      </c>
      <c r="AS245" s="1">
        <v>0.05547267</v>
      </c>
      <c r="AT245" s="1">
        <v>0.03530189</v>
      </c>
      <c r="AU245" s="1">
        <v>0.05415683</v>
      </c>
      <c r="AV245" s="1">
        <v>0.05180203</v>
      </c>
      <c r="AW245" s="1">
        <v>0.05111235</v>
      </c>
      <c r="AX245" s="1">
        <v>0.09640285</v>
      </c>
      <c r="AY245" s="1">
        <v>0.07500592</v>
      </c>
      <c r="AZ245" s="1">
        <v>81</v>
      </c>
      <c r="BA245" s="1">
        <v>10.748</v>
      </c>
      <c r="BB245" s="1">
        <f t="shared" si="10"/>
        <v>4.39444915467244</v>
      </c>
      <c r="BC245" s="1">
        <v>0</v>
      </c>
      <c r="BD245" s="1">
        <v>236.59</v>
      </c>
      <c r="BE245" s="1">
        <v>0.788043320178986</v>
      </c>
      <c r="BF245" s="1">
        <v>-63.61667</v>
      </c>
      <c r="BG245" s="1">
        <v>1.5128244</v>
      </c>
      <c r="BH245" s="1">
        <v>645.74342319689</v>
      </c>
      <c r="BI245" s="1">
        <f t="shared" si="11"/>
        <v>6.47040224717285</v>
      </c>
      <c r="BJ245" s="1">
        <v>3.301158333</v>
      </c>
      <c r="BM245" s="1">
        <v>156892</v>
      </c>
      <c r="BN245" s="1">
        <v>2510000</v>
      </c>
      <c r="BO245" s="1">
        <v>0.0625</v>
      </c>
      <c r="BP245" s="1">
        <v>0.18829</v>
      </c>
      <c r="BQ245" s="1">
        <v>46.468401</v>
      </c>
      <c r="BR245" s="1">
        <v>7230.33</v>
      </c>
      <c r="BS245" s="3">
        <v>1800000</v>
      </c>
    </row>
    <row r="246" spans="1:71">
      <c r="A246" s="1" t="s">
        <v>91</v>
      </c>
      <c r="B246" s="1">
        <v>21</v>
      </c>
      <c r="C246" s="1">
        <v>111.794</v>
      </c>
      <c r="D246" s="1">
        <v>22.8159</v>
      </c>
      <c r="E246" s="1">
        <v>2015</v>
      </c>
      <c r="F246" s="1">
        <v>0.307322486837901</v>
      </c>
      <c r="G246" s="1">
        <v>6.38776804587704</v>
      </c>
      <c r="H246" s="1">
        <v>5.08221149258547</v>
      </c>
      <c r="I246" s="1">
        <v>5.03967616288067</v>
      </c>
      <c r="J246" s="1">
        <v>4.89574806155189</v>
      </c>
      <c r="K246" s="1">
        <v>5.45142464507857</v>
      </c>
      <c r="L246" s="1">
        <v>-0.2231272</v>
      </c>
      <c r="M246" s="1">
        <v>0</v>
      </c>
      <c r="N246" s="1">
        <v>1.0986123</v>
      </c>
      <c r="O246" s="1">
        <v>10.2777715431607</v>
      </c>
      <c r="P246" s="1">
        <v>160.13</v>
      </c>
      <c r="Q246" s="1">
        <v>153.42</v>
      </c>
      <c r="R246" s="1">
        <v>132.72</v>
      </c>
      <c r="S246" s="1">
        <v>232.09</v>
      </c>
      <c r="T246" s="1">
        <v>42.92</v>
      </c>
      <c r="U246" s="1">
        <v>0</v>
      </c>
      <c r="V246" s="1">
        <v>2</v>
      </c>
      <c r="W246" s="1">
        <v>29078</v>
      </c>
      <c r="X246" s="1">
        <v>0.166895326257787</v>
      </c>
      <c r="Y246" s="1">
        <v>6.3</v>
      </c>
      <c r="Z246" s="1">
        <v>0.42560000005609</v>
      </c>
      <c r="AA246" s="1">
        <v>5.71865737705621</v>
      </c>
      <c r="AB246" s="1">
        <f t="shared" si="9"/>
        <v>1.74373405354878</v>
      </c>
      <c r="AC246" s="1">
        <v>2.12291051314353</v>
      </c>
      <c r="AD246" s="1">
        <v>0.00285852875255076</v>
      </c>
      <c r="AE246" s="1">
        <v>0.844705882352941</v>
      </c>
      <c r="AF246" s="1">
        <v>0</v>
      </c>
      <c r="AG246" s="1">
        <v>0.41321</v>
      </c>
      <c r="AH246" s="2">
        <v>3.78237</v>
      </c>
      <c r="AI246" s="1">
        <v>187.696068925915</v>
      </c>
      <c r="AJ246" s="1">
        <v>0.176865827681133</v>
      </c>
      <c r="AK246" s="1">
        <v>0.21241705956777</v>
      </c>
      <c r="AL246" s="1">
        <v>0.181448136184174</v>
      </c>
      <c r="AM246" s="1">
        <v>0.517202608500112</v>
      </c>
      <c r="AN246" s="1">
        <v>0</v>
      </c>
      <c r="AO246" s="1">
        <v>0.03882258</v>
      </c>
      <c r="AP246" s="1">
        <v>0.05626989</v>
      </c>
      <c r="AQ246" s="1">
        <v>0.04646274</v>
      </c>
      <c r="AR246" s="1">
        <v>0.0299332</v>
      </c>
      <c r="AS246" s="1">
        <v>0.05547267</v>
      </c>
      <c r="AT246" s="1">
        <v>0.03530189</v>
      </c>
      <c r="AU246" s="1">
        <v>0.05415683</v>
      </c>
      <c r="AV246" s="1">
        <v>0.05180203</v>
      </c>
      <c r="AW246" s="1">
        <v>0.05111235</v>
      </c>
      <c r="AX246" s="1">
        <v>0.09640285</v>
      </c>
      <c r="AY246" s="1">
        <v>0.07500592</v>
      </c>
      <c r="AZ246" s="1">
        <v>135</v>
      </c>
      <c r="BA246" s="1">
        <v>8.545</v>
      </c>
      <c r="BB246" s="1">
        <f t="shared" si="10"/>
        <v>4.90527477843843</v>
      </c>
      <c r="BC246" s="1">
        <v>0</v>
      </c>
      <c r="BD246" s="1">
        <v>237.05</v>
      </c>
      <c r="BE246" s="1">
        <v>1.06395781040192</v>
      </c>
      <c r="BF246" s="1">
        <v>-68.100654</v>
      </c>
      <c r="BG246" s="1">
        <v>0.8866316</v>
      </c>
      <c r="BH246" s="1">
        <v>696.598801796446</v>
      </c>
      <c r="BI246" s="1">
        <f t="shared" si="11"/>
        <v>6.54620963785641</v>
      </c>
      <c r="BJ246" s="1">
        <v>3.301158333</v>
      </c>
      <c r="BM246" s="1">
        <v>156892</v>
      </c>
      <c r="BN246" s="1">
        <v>2510000</v>
      </c>
      <c r="BO246" s="1">
        <v>0.0625</v>
      </c>
      <c r="BP246" s="1">
        <v>0.18829</v>
      </c>
      <c r="BQ246" s="1">
        <v>46.468401</v>
      </c>
      <c r="BR246" s="1">
        <v>7230.33</v>
      </c>
      <c r="BS246" s="3">
        <v>1800000</v>
      </c>
    </row>
    <row r="247" spans="1:71">
      <c r="A247" s="1" t="s">
        <v>91</v>
      </c>
      <c r="B247" s="1">
        <v>21</v>
      </c>
      <c r="C247" s="1">
        <v>111.794</v>
      </c>
      <c r="D247" s="1">
        <v>22.8159</v>
      </c>
      <c r="E247" s="1">
        <v>2016</v>
      </c>
      <c r="F247" s="1">
        <v>0.268076849383437</v>
      </c>
      <c r="G247" s="1">
        <v>6.40143620511569</v>
      </c>
      <c r="H247" s="1">
        <v>5.22929793470836</v>
      </c>
      <c r="I247" s="1">
        <v>5.09305262688379</v>
      </c>
      <c r="J247" s="1">
        <v>5.24695992589263</v>
      </c>
      <c r="K247" s="1">
        <v>5.557348711852</v>
      </c>
      <c r="L247" s="1">
        <v>-0.2231272</v>
      </c>
      <c r="M247" s="1">
        <v>0</v>
      </c>
      <c r="N247" s="1">
        <v>1.0986123</v>
      </c>
      <c r="O247" s="1">
        <v>10.3578380583741</v>
      </c>
      <c r="P247" s="1">
        <v>185.661708774781</v>
      </c>
      <c r="Q247" s="1">
        <v>161.886335093105</v>
      </c>
      <c r="R247" s="1">
        <v>188.987812640362</v>
      </c>
      <c r="S247" s="1">
        <v>258.134883450673</v>
      </c>
      <c r="T247" s="1">
        <v>47.02</v>
      </c>
      <c r="U247" s="1">
        <v>0</v>
      </c>
      <c r="V247" s="1">
        <v>2</v>
      </c>
      <c r="W247" s="1">
        <v>31502</v>
      </c>
      <c r="X247" s="1">
        <v>0.164087322567975</v>
      </c>
      <c r="Y247" s="1">
        <v>16.02</v>
      </c>
      <c r="Z247" s="1">
        <v>0.413800000025697</v>
      </c>
      <c r="AA247" s="1">
        <v>5.7223160529262</v>
      </c>
      <c r="AB247" s="1">
        <f t="shared" si="9"/>
        <v>1.74437362779779</v>
      </c>
      <c r="AC247" s="1">
        <v>2.14782788908874</v>
      </c>
      <c r="AD247" s="1">
        <v>0.00300664451827243</v>
      </c>
      <c r="AE247" s="1">
        <v>0.872216097023153</v>
      </c>
      <c r="AF247" s="1">
        <v>0</v>
      </c>
      <c r="AG247" s="1">
        <v>0.419688</v>
      </c>
      <c r="AH247" s="2">
        <v>3.87162</v>
      </c>
      <c r="AI247" s="1">
        <v>187.696068925915</v>
      </c>
      <c r="AJ247" s="1">
        <v>0.176865827681133</v>
      </c>
      <c r="AK247" s="1">
        <v>0.21241705956777</v>
      </c>
      <c r="AL247" s="1">
        <v>0.181448136184174</v>
      </c>
      <c r="AM247" s="1">
        <v>0.517202608500112</v>
      </c>
      <c r="AN247" s="1">
        <v>0</v>
      </c>
      <c r="AO247" s="1">
        <v>0.03882258</v>
      </c>
      <c r="AP247" s="1">
        <v>0.05626989</v>
      </c>
      <c r="AQ247" s="1">
        <v>0.04646274</v>
      </c>
      <c r="AR247" s="1">
        <v>0.0299332</v>
      </c>
      <c r="AS247" s="1">
        <v>0.05547267</v>
      </c>
      <c r="AT247" s="1">
        <v>0.03530189</v>
      </c>
      <c r="AU247" s="1">
        <v>0.05415683</v>
      </c>
      <c r="AV247" s="1">
        <v>0.05180203</v>
      </c>
      <c r="AW247" s="1">
        <v>0.05111235</v>
      </c>
      <c r="AX247" s="1">
        <v>0.09640285</v>
      </c>
      <c r="AY247" s="1">
        <v>0.07500592</v>
      </c>
      <c r="AZ247" s="1">
        <v>294</v>
      </c>
      <c r="BA247" s="1">
        <v>9.05</v>
      </c>
      <c r="BB247" s="1">
        <f t="shared" si="10"/>
        <v>5.68357976733868</v>
      </c>
      <c r="BC247" s="1">
        <v>0</v>
      </c>
      <c r="BD247" s="1">
        <v>237.98</v>
      </c>
      <c r="BE247" s="1">
        <v>1.16507732868195</v>
      </c>
      <c r="BF247" s="1">
        <v>-112.41615</v>
      </c>
      <c r="BG247" s="1">
        <v>0.6624163</v>
      </c>
      <c r="BH247" s="1">
        <v>758.683086973321</v>
      </c>
      <c r="BI247" s="1">
        <f t="shared" si="11"/>
        <v>6.63158414998184</v>
      </c>
      <c r="BJ247" s="1">
        <v>3.301158333</v>
      </c>
      <c r="BM247" s="1">
        <v>156892</v>
      </c>
      <c r="BN247" s="1">
        <v>2510000</v>
      </c>
      <c r="BO247" s="1">
        <v>0.0625</v>
      </c>
      <c r="BP247" s="1">
        <v>0.18829</v>
      </c>
      <c r="BQ247" s="1">
        <v>46.468401</v>
      </c>
      <c r="BR247" s="1">
        <v>7230.33</v>
      </c>
      <c r="BS247" s="3">
        <v>1800000</v>
      </c>
    </row>
    <row r="248" spans="1:71">
      <c r="A248" s="1" t="s">
        <v>91</v>
      </c>
      <c r="B248" s="1">
        <v>21</v>
      </c>
      <c r="C248" s="1">
        <v>111.794</v>
      </c>
      <c r="D248" s="1">
        <v>22.8159</v>
      </c>
      <c r="E248" s="1">
        <v>2017</v>
      </c>
      <c r="F248" s="1">
        <v>0.262971411231567</v>
      </c>
      <c r="G248" s="1">
        <v>6.48244171223155</v>
      </c>
      <c r="H248" s="1">
        <v>5.36813567147105</v>
      </c>
      <c r="I248" s="1">
        <v>5.21383916907549</v>
      </c>
      <c r="J248" s="1">
        <v>5.49693628856189</v>
      </c>
      <c r="K248" s="1">
        <v>5.56894592783121</v>
      </c>
      <c r="L248" s="1">
        <v>-0.2231272</v>
      </c>
      <c r="M248" s="1">
        <v>3.93182563272432</v>
      </c>
      <c r="N248" s="1">
        <v>0.6931472</v>
      </c>
      <c r="O248" s="1">
        <v>10.3807315661982</v>
      </c>
      <c r="P248" s="1">
        <v>213.462665864864</v>
      </c>
      <c r="Q248" s="1">
        <v>182.798338250534</v>
      </c>
      <c r="R248" s="1">
        <v>242.943414002198</v>
      </c>
      <c r="S248" s="1">
        <v>261.157620483419</v>
      </c>
      <c r="T248" s="1">
        <v>49.81</v>
      </c>
      <c r="U248" s="1">
        <v>50</v>
      </c>
      <c r="V248" s="1">
        <v>1</v>
      </c>
      <c r="W248" s="1">
        <v>32231.5331</v>
      </c>
      <c r="X248" s="1">
        <v>0.166134786458932</v>
      </c>
      <c r="Y248" s="1">
        <v>6.29</v>
      </c>
      <c r="Z248" s="4">
        <v>0.3958</v>
      </c>
      <c r="AA248" s="1">
        <v>5.72269416447361</v>
      </c>
      <c r="AB248" s="1">
        <f t="shared" si="9"/>
        <v>1.74443970227747</v>
      </c>
      <c r="AC248" s="1">
        <v>2.30511991322662</v>
      </c>
      <c r="AD248" s="1">
        <v>0.00310833333333333</v>
      </c>
      <c r="AE248" s="1">
        <v>0.723190546528804</v>
      </c>
      <c r="AF248" s="1">
        <v>15</v>
      </c>
      <c r="AG248" s="1">
        <v>0.431198</v>
      </c>
      <c r="AH248" s="2">
        <v>3.92809</v>
      </c>
      <c r="AI248" s="1">
        <v>187.696068925915</v>
      </c>
      <c r="AJ248" s="1">
        <v>0.176865827681133</v>
      </c>
      <c r="AK248" s="1">
        <v>0.21241705956777</v>
      </c>
      <c r="AL248" s="1">
        <v>0.181448136184174</v>
      </c>
      <c r="AM248" s="1">
        <v>0.517202608500112</v>
      </c>
      <c r="AN248" s="1">
        <v>0</v>
      </c>
      <c r="AO248" s="1">
        <v>0.03882258</v>
      </c>
      <c r="AP248" s="1">
        <v>0.05626989</v>
      </c>
      <c r="AQ248" s="1">
        <v>0.04646274</v>
      </c>
      <c r="AR248" s="1">
        <v>0.0299332</v>
      </c>
      <c r="AS248" s="1">
        <v>0.05547267</v>
      </c>
      <c r="AT248" s="1">
        <v>0.03530189</v>
      </c>
      <c r="AU248" s="1">
        <v>0.05415683</v>
      </c>
      <c r="AV248" s="1">
        <v>0.05180203</v>
      </c>
      <c r="AW248" s="1">
        <v>0.05111235</v>
      </c>
      <c r="AX248" s="1">
        <v>0.09640285</v>
      </c>
      <c r="AY248" s="1">
        <v>0.07500592</v>
      </c>
      <c r="AZ248" s="1">
        <v>450</v>
      </c>
      <c r="BA248" s="1">
        <v>9.325</v>
      </c>
      <c r="BB248" s="1">
        <f t="shared" si="10"/>
        <v>6.10924758276437</v>
      </c>
      <c r="BC248" s="1">
        <v>0.00117</v>
      </c>
      <c r="BD248" s="1">
        <v>238.07</v>
      </c>
      <c r="BE248" s="1">
        <v>1.44172012805939</v>
      </c>
      <c r="BF248" s="1">
        <v>6.10357</v>
      </c>
      <c r="BG248" s="1">
        <v>0.814982</v>
      </c>
      <c r="BH248" s="1">
        <v>804.632698790015</v>
      </c>
      <c r="BI248" s="1">
        <f t="shared" si="11"/>
        <v>6.69038589849853</v>
      </c>
      <c r="BJ248" s="1">
        <v>3.301158333</v>
      </c>
      <c r="BM248" s="1">
        <v>156892</v>
      </c>
      <c r="BN248" s="1">
        <v>2510000</v>
      </c>
      <c r="BO248" s="1">
        <v>0.0625</v>
      </c>
      <c r="BP248" s="1">
        <v>0.18829</v>
      </c>
      <c r="BQ248" s="1">
        <v>46.468401</v>
      </c>
      <c r="BR248" s="1">
        <v>7230.33</v>
      </c>
      <c r="BS248" s="3">
        <v>1800000</v>
      </c>
    </row>
    <row r="249" spans="1:71">
      <c r="A249" s="1" t="s">
        <v>91</v>
      </c>
      <c r="B249" s="1">
        <v>21</v>
      </c>
      <c r="C249" s="1">
        <v>111.794</v>
      </c>
      <c r="D249" s="1">
        <v>22.8159</v>
      </c>
      <c r="E249" s="1">
        <v>2018</v>
      </c>
      <c r="F249" s="1">
        <v>0.274202925351559</v>
      </c>
      <c r="G249" s="1">
        <v>6.56048948751991</v>
      </c>
      <c r="H249" s="1">
        <v>5.41778427214379</v>
      </c>
      <c r="I249" s="1">
        <v>5.32030025113933</v>
      </c>
      <c r="J249" s="1">
        <v>5.45400395126927</v>
      </c>
      <c r="K249" s="1">
        <v>5.63268286269197</v>
      </c>
      <c r="L249" s="1">
        <v>-0.2231272</v>
      </c>
      <c r="M249" s="1">
        <v>5.27775745258267</v>
      </c>
      <c r="N249" s="1">
        <v>1.609438</v>
      </c>
      <c r="O249" s="1">
        <v>10.4266764352855</v>
      </c>
      <c r="P249" s="1">
        <v>224.379189884672</v>
      </c>
      <c r="Q249" s="1">
        <v>203.445257690769</v>
      </c>
      <c r="R249" s="1">
        <v>232.691986469049</v>
      </c>
      <c r="S249" s="1">
        <v>278.410733571824</v>
      </c>
      <c r="T249" s="1">
        <v>53.89</v>
      </c>
      <c r="U249" s="1">
        <v>194.93</v>
      </c>
      <c r="V249" s="1">
        <v>4</v>
      </c>
      <c r="W249" s="1">
        <v>33747</v>
      </c>
      <c r="X249" s="1">
        <v>0.127059700276189</v>
      </c>
      <c r="Y249" s="1">
        <v>10.96</v>
      </c>
      <c r="Z249" s="1">
        <v>0.377799999976446</v>
      </c>
      <c r="AA249" s="1">
        <v>5.72277816985001</v>
      </c>
      <c r="AB249" s="1">
        <f t="shared" si="9"/>
        <v>1.74445438151026</v>
      </c>
      <c r="AC249" s="1">
        <v>2.34660023148443</v>
      </c>
      <c r="AD249" s="1">
        <v>0.00315382059800664</v>
      </c>
      <c r="AE249" s="1">
        <v>0.844951590594744</v>
      </c>
      <c r="AF249" s="1">
        <v>23</v>
      </c>
      <c r="AG249" s="1">
        <v>0.422256</v>
      </c>
      <c r="AH249" s="2">
        <v>4.00533</v>
      </c>
      <c r="AI249" s="1">
        <v>187.696068925915</v>
      </c>
      <c r="AJ249" s="1">
        <v>0.176865827681133</v>
      </c>
      <c r="AK249" s="1">
        <v>0.21241705956777</v>
      </c>
      <c r="AL249" s="1">
        <v>0.181448136184174</v>
      </c>
      <c r="AM249" s="1">
        <v>0.517202608500112</v>
      </c>
      <c r="AN249" s="1">
        <v>0</v>
      </c>
      <c r="AO249" s="1">
        <v>0.03882258</v>
      </c>
      <c r="AP249" s="1">
        <v>0.05626989</v>
      </c>
      <c r="AQ249" s="1">
        <v>0.04646274</v>
      </c>
      <c r="AR249" s="1">
        <v>0.0299332</v>
      </c>
      <c r="AS249" s="1">
        <v>0.05547267</v>
      </c>
      <c r="AT249" s="1">
        <v>0.03530189</v>
      </c>
      <c r="AU249" s="1">
        <v>0.05415683</v>
      </c>
      <c r="AV249" s="1">
        <v>0.05180203</v>
      </c>
      <c r="AW249" s="1">
        <v>0.05111235</v>
      </c>
      <c r="AX249" s="1">
        <v>0.09640285</v>
      </c>
      <c r="AY249" s="1">
        <v>0.07500592</v>
      </c>
      <c r="AZ249" s="1">
        <v>397</v>
      </c>
      <c r="BA249" s="1">
        <v>9.493</v>
      </c>
      <c r="BB249" s="1">
        <f t="shared" si="10"/>
        <v>5.98393628068719</v>
      </c>
      <c r="BC249" s="1">
        <v>0.00129</v>
      </c>
      <c r="BD249" s="1">
        <v>238.09</v>
      </c>
      <c r="BE249" s="1">
        <v>1.59160351753235</v>
      </c>
      <c r="BF249" s="1">
        <v>-112.865341</v>
      </c>
      <c r="BG249" s="1">
        <v>0.6015165</v>
      </c>
      <c r="BH249" s="1">
        <v>855.6747</v>
      </c>
      <c r="BI249" s="1">
        <f t="shared" si="11"/>
        <v>6.75189028055008</v>
      </c>
      <c r="BJ249" s="1">
        <v>3.301158333</v>
      </c>
      <c r="BM249" s="1">
        <v>156892</v>
      </c>
      <c r="BN249" s="1">
        <v>2510000</v>
      </c>
      <c r="BO249" s="1">
        <v>0.0625</v>
      </c>
      <c r="BP249" s="1">
        <v>0.18829</v>
      </c>
      <c r="BQ249" s="1">
        <v>46.468401</v>
      </c>
      <c r="BR249" s="1">
        <v>7230.33</v>
      </c>
      <c r="BS249" s="3">
        <v>1800000</v>
      </c>
    </row>
    <row r="250" spans="1:71">
      <c r="A250" s="1" t="s">
        <v>91</v>
      </c>
      <c r="B250" s="1">
        <v>21</v>
      </c>
      <c r="C250" s="1">
        <v>111.794</v>
      </c>
      <c r="D250" s="1">
        <v>22.8159</v>
      </c>
      <c r="E250" s="1">
        <v>2019</v>
      </c>
      <c r="F250" s="1">
        <v>0.270015420002855</v>
      </c>
      <c r="G250" s="1">
        <v>6.56958605687519</v>
      </c>
      <c r="H250" s="1">
        <v>5.45697605245851</v>
      </c>
      <c r="I250" s="1">
        <v>5.38715602021697</v>
      </c>
      <c r="J250" s="1">
        <v>5.48397697625575</v>
      </c>
      <c r="K250" s="1">
        <v>5.61654734463572</v>
      </c>
      <c r="L250" s="1">
        <v>-0.2231272</v>
      </c>
      <c r="M250" s="1">
        <v>4.56434819146783</v>
      </c>
      <c r="N250" s="1">
        <v>0</v>
      </c>
      <c r="O250" s="1">
        <v>10.5010959921736</v>
      </c>
      <c r="P250" s="1">
        <v>233.387575946983</v>
      </c>
      <c r="Q250" s="1">
        <v>217.58086123952</v>
      </c>
      <c r="R250" s="1">
        <v>239.802471261225</v>
      </c>
      <c r="S250" s="1">
        <v>273.938474775377</v>
      </c>
      <c r="T250" s="1">
        <v>57.78</v>
      </c>
      <c r="U250" s="1">
        <v>95</v>
      </c>
      <c r="V250" s="1">
        <v>0</v>
      </c>
      <c r="W250" s="1">
        <v>36354.326</v>
      </c>
      <c r="X250" s="1">
        <v>0.119277989083954</v>
      </c>
      <c r="Y250" s="1">
        <v>13.96</v>
      </c>
      <c r="Z250" s="1">
        <v>0.3103</v>
      </c>
      <c r="AA250" s="1">
        <v>5.7237856843133</v>
      </c>
      <c r="AB250" s="1">
        <f t="shared" si="9"/>
        <v>1.74463041939879</v>
      </c>
      <c r="AC250" s="1">
        <v>2.38971102881577</v>
      </c>
      <c r="AD250" s="1">
        <v>0.00433720930232558</v>
      </c>
      <c r="AE250" s="1">
        <v>0.691597708465945</v>
      </c>
      <c r="AF250" s="1">
        <v>4</v>
      </c>
      <c r="AG250" s="1">
        <v>0.457626</v>
      </c>
      <c r="AH250" s="2">
        <v>4.0738</v>
      </c>
      <c r="AI250" s="1">
        <v>187.696068925915</v>
      </c>
      <c r="AJ250" s="1">
        <v>0.176865827681133</v>
      </c>
      <c r="AK250" s="1">
        <v>0.21241705956777</v>
      </c>
      <c r="AL250" s="1">
        <v>0.181448136184174</v>
      </c>
      <c r="AM250" s="1">
        <v>0.517202608500112</v>
      </c>
      <c r="AN250" s="1">
        <v>0</v>
      </c>
      <c r="AO250" s="1">
        <v>0.03882258</v>
      </c>
      <c r="AP250" s="1">
        <v>0.05626989</v>
      </c>
      <c r="AQ250" s="1">
        <v>0.04646274</v>
      </c>
      <c r="AR250" s="1">
        <v>0.0299332</v>
      </c>
      <c r="AS250" s="1">
        <v>0.05547267</v>
      </c>
      <c r="AT250" s="1">
        <v>0.03530189</v>
      </c>
      <c r="AU250" s="1">
        <v>0.05415683</v>
      </c>
      <c r="AV250" s="1">
        <v>0.05180203</v>
      </c>
      <c r="AW250" s="1">
        <v>0.05111235</v>
      </c>
      <c r="AX250" s="1">
        <v>0.09640285</v>
      </c>
      <c r="AY250" s="1">
        <v>0.07500592</v>
      </c>
      <c r="AZ250" s="1">
        <v>420</v>
      </c>
      <c r="BA250" s="1">
        <v>13.055</v>
      </c>
      <c r="BB250" s="1">
        <f t="shared" si="10"/>
        <v>6.04025471127741</v>
      </c>
      <c r="BC250" s="1">
        <v>0.000301</v>
      </c>
      <c r="BD250" s="1">
        <v>238.33</v>
      </c>
      <c r="BE250" s="1">
        <v>1.55305755138397</v>
      </c>
      <c r="BF250" s="1">
        <v>-258.087821</v>
      </c>
      <c r="BG250" s="1">
        <v>0.7704789</v>
      </c>
      <c r="BH250" s="1">
        <v>944.144745203274</v>
      </c>
      <c r="BI250" s="1">
        <f t="shared" si="11"/>
        <v>6.85027948617451</v>
      </c>
      <c r="BJ250" s="1">
        <v>3.301158333</v>
      </c>
      <c r="BM250" s="1">
        <v>156892</v>
      </c>
      <c r="BN250" s="1">
        <v>2510000</v>
      </c>
      <c r="BO250" s="1">
        <v>0.0625</v>
      </c>
      <c r="BP250" s="1">
        <v>0.18829</v>
      </c>
      <c r="BQ250" s="1">
        <v>46.468401</v>
      </c>
      <c r="BR250" s="1">
        <v>7230.33</v>
      </c>
      <c r="BS250" s="3">
        <v>1800000</v>
      </c>
    </row>
    <row r="251" spans="1:71">
      <c r="A251" s="1" t="s">
        <v>91</v>
      </c>
      <c r="B251" s="1">
        <v>21</v>
      </c>
      <c r="C251" s="1">
        <v>111.794</v>
      </c>
      <c r="D251" s="1">
        <v>22.8159</v>
      </c>
      <c r="E251" s="1">
        <v>2020</v>
      </c>
      <c r="F251" s="1">
        <v>0.294499222470771</v>
      </c>
      <c r="G251" s="1">
        <v>6.69396917673706</v>
      </c>
      <c r="H251" s="1">
        <v>5.51091378468599</v>
      </c>
      <c r="I251" s="1">
        <v>5.44994457867862</v>
      </c>
      <c r="J251" s="1">
        <v>5.53168245431208</v>
      </c>
      <c r="K251" s="1">
        <v>5.65694414566657</v>
      </c>
      <c r="L251" s="1">
        <v>-0.2231272</v>
      </c>
      <c r="M251" s="1">
        <v>0</v>
      </c>
      <c r="N251" s="1">
        <v>1.7917595</v>
      </c>
      <c r="O251" s="1">
        <v>10.6465553271364</v>
      </c>
      <c r="P251" s="1">
        <v>246.377073198171</v>
      </c>
      <c r="Q251" s="1">
        <v>231.745266491554</v>
      </c>
      <c r="R251" s="1">
        <v>251.568488722062</v>
      </c>
      <c r="S251" s="1">
        <v>285.272497465182</v>
      </c>
      <c r="T251" s="1">
        <v>55.48</v>
      </c>
      <c r="U251" s="1">
        <v>0</v>
      </c>
      <c r="V251" s="1">
        <v>5</v>
      </c>
      <c r="W251" s="1">
        <v>42046.5049</v>
      </c>
      <c r="X251" s="1">
        <v>0.117805871689112</v>
      </c>
      <c r="Y251" s="1">
        <v>11.67</v>
      </c>
      <c r="Z251" s="1">
        <v>0.3114</v>
      </c>
      <c r="AA251" s="1">
        <v>5.72395350474584</v>
      </c>
      <c r="AB251" s="1">
        <f t="shared" si="9"/>
        <v>1.7446597388006</v>
      </c>
      <c r="AC251" s="1">
        <v>2.42304024912131</v>
      </c>
      <c r="AD251" s="1">
        <v>0.00649850746268657</v>
      </c>
      <c r="AE251" s="1">
        <v>0.916770186335404</v>
      </c>
      <c r="AF251" s="1">
        <v>0</v>
      </c>
      <c r="AG251" s="1">
        <v>0.4536</v>
      </c>
      <c r="AH251" s="2">
        <v>4.03389</v>
      </c>
      <c r="AI251" s="1">
        <v>187.696068925915</v>
      </c>
      <c r="AJ251" s="1">
        <v>0.176865827681133</v>
      </c>
      <c r="AK251" s="1">
        <v>0.21241705956777</v>
      </c>
      <c r="AL251" s="1">
        <v>0.181448136184174</v>
      </c>
      <c r="AM251" s="1">
        <v>0.517202608500112</v>
      </c>
      <c r="AN251" s="1">
        <v>0</v>
      </c>
      <c r="AO251" s="1">
        <v>0.03882258</v>
      </c>
      <c r="AP251" s="1">
        <v>0.05626989</v>
      </c>
      <c r="AQ251" s="1">
        <v>0.04646274</v>
      </c>
      <c r="AR251" s="1">
        <v>0.0299332</v>
      </c>
      <c r="AS251" s="1">
        <v>0.05547267</v>
      </c>
      <c r="AT251" s="1">
        <v>0.03530189</v>
      </c>
      <c r="AU251" s="1">
        <v>0.05415683</v>
      </c>
      <c r="AV251" s="1">
        <v>0.05180203</v>
      </c>
      <c r="AW251" s="1">
        <v>0.05111235</v>
      </c>
      <c r="AX251" s="1">
        <v>0.09640285</v>
      </c>
      <c r="AY251" s="1">
        <v>0.07500592</v>
      </c>
      <c r="AZ251" s="1">
        <v>699</v>
      </c>
      <c r="BA251" s="1">
        <v>11.806</v>
      </c>
      <c r="BB251" s="1">
        <f t="shared" si="10"/>
        <v>6.54965074223381</v>
      </c>
      <c r="BC251" s="1">
        <v>0</v>
      </c>
      <c r="BD251" s="1">
        <v>238.37</v>
      </c>
      <c r="BE251" s="1">
        <v>1.59491372108459</v>
      </c>
      <c r="BF251" s="1">
        <v>-181.38195</v>
      </c>
      <c r="BG251" s="1">
        <v>0.4758986</v>
      </c>
      <c r="BH251" s="1">
        <v>1002.1784</v>
      </c>
      <c r="BI251" s="1">
        <f t="shared" si="11"/>
        <v>6.90993130970905</v>
      </c>
      <c r="BJ251" s="1">
        <v>3.301158333</v>
      </c>
      <c r="BM251" s="1">
        <v>156892</v>
      </c>
      <c r="BN251" s="1">
        <v>2510000</v>
      </c>
      <c r="BO251" s="1">
        <v>0.0625</v>
      </c>
      <c r="BP251" s="1">
        <v>0.18829</v>
      </c>
      <c r="BQ251" s="1">
        <v>46.468401</v>
      </c>
      <c r="BR251" s="1">
        <v>7230.33</v>
      </c>
      <c r="BS251" s="3">
        <v>1800000</v>
      </c>
    </row>
    <row r="252" spans="1:71">
      <c r="A252" s="1" t="s">
        <v>91</v>
      </c>
      <c r="B252" s="1">
        <v>21</v>
      </c>
      <c r="C252" s="1">
        <v>111.794</v>
      </c>
      <c r="D252" s="1">
        <v>22.8159</v>
      </c>
      <c r="E252" s="1">
        <v>2021</v>
      </c>
      <c r="F252" s="1">
        <v>0.309679240313043</v>
      </c>
      <c r="G252" s="1">
        <v>6.8762585423161</v>
      </c>
      <c r="H252" s="1">
        <v>5.62345217313151</v>
      </c>
      <c r="I252" s="1">
        <v>5.60384915877461</v>
      </c>
      <c r="J252" s="1">
        <v>5.61623549971413</v>
      </c>
      <c r="K252" s="1">
        <v>5.69784148487278</v>
      </c>
      <c r="L252" s="1">
        <v>-0.2231272</v>
      </c>
      <c r="M252" s="1">
        <v>4.39444915467243</v>
      </c>
      <c r="N252" s="1">
        <v>2.3025851</v>
      </c>
      <c r="O252" s="1">
        <v>10.2892836476213</v>
      </c>
      <c r="P252" s="1">
        <v>275.843447001461</v>
      </c>
      <c r="Q252" s="1">
        <v>270.46932754032</v>
      </c>
      <c r="R252" s="1">
        <v>273.852750049359</v>
      </c>
      <c r="S252" s="1">
        <v>297.222986860675</v>
      </c>
      <c r="T252" s="1">
        <v>75.9462</v>
      </c>
      <c r="U252" s="1">
        <v>80</v>
      </c>
      <c r="V252" s="1">
        <v>9</v>
      </c>
      <c r="W252" s="1">
        <v>29414.6948</v>
      </c>
      <c r="X252" s="1">
        <v>0.116901950805701</v>
      </c>
      <c r="Y252" s="1">
        <v>4.19</v>
      </c>
      <c r="Z252" s="1">
        <v>0.3319</v>
      </c>
      <c r="AA252" s="1">
        <v>5.72797276910572</v>
      </c>
      <c r="AB252" s="1">
        <f t="shared" si="9"/>
        <v>1.74536167565014</v>
      </c>
      <c r="AC252" s="1">
        <v>2.30627368542308</v>
      </c>
      <c r="AD252" s="1">
        <v>0.00488708609271523</v>
      </c>
      <c r="AE252" s="1">
        <v>0.719483126332957</v>
      </c>
      <c r="AF252" s="1">
        <v>1</v>
      </c>
      <c r="AG252" s="1">
        <v>0.451164</v>
      </c>
      <c r="AH252" s="2">
        <v>4.34311</v>
      </c>
      <c r="AI252" s="1">
        <v>187.696068925915</v>
      </c>
      <c r="AJ252" s="1">
        <v>0.176865827681133</v>
      </c>
      <c r="AK252" s="1">
        <v>0.21241705956777</v>
      </c>
      <c r="AL252" s="1">
        <v>0.181448136184174</v>
      </c>
      <c r="AM252" s="1">
        <v>0.517202608500112</v>
      </c>
      <c r="AN252" s="1">
        <v>0</v>
      </c>
      <c r="AO252" s="1">
        <v>0.03882258</v>
      </c>
      <c r="AP252" s="1">
        <v>0.05626989</v>
      </c>
      <c r="AQ252" s="1">
        <v>0.04646274</v>
      </c>
      <c r="AR252" s="1">
        <v>0.0299332</v>
      </c>
      <c r="AS252" s="1">
        <v>0.05547267</v>
      </c>
      <c r="AT252" s="1">
        <v>0.03530189</v>
      </c>
      <c r="AU252" s="1">
        <v>0.05415683</v>
      </c>
      <c r="AV252" s="1">
        <v>0.05180203</v>
      </c>
      <c r="AW252" s="1">
        <v>0.05111235</v>
      </c>
      <c r="AX252" s="1">
        <v>0.09640285</v>
      </c>
      <c r="AY252" s="1">
        <v>0.07500592</v>
      </c>
      <c r="AZ252" s="1">
        <v>472</v>
      </c>
      <c r="BA252" s="1">
        <v>14.1</v>
      </c>
      <c r="BB252" s="1">
        <f t="shared" si="10"/>
        <v>6.15697898558556</v>
      </c>
      <c r="BC252" s="1">
        <v>0.000284</v>
      </c>
      <c r="BD252" s="1">
        <v>239.33</v>
      </c>
      <c r="BE252" s="1">
        <v>1.45836091041565</v>
      </c>
      <c r="BF252" s="1">
        <v>2539.05511</v>
      </c>
      <c r="BG252" s="1">
        <v>0.3430775</v>
      </c>
      <c r="BH252" s="1">
        <v>1138.9653</v>
      </c>
      <c r="BI252" s="1">
        <f t="shared" si="11"/>
        <v>7.03787549766265</v>
      </c>
      <c r="BJ252" s="1">
        <v>3.301158333</v>
      </c>
      <c r="BM252" s="1">
        <v>156892</v>
      </c>
      <c r="BN252" s="1">
        <v>2510000</v>
      </c>
      <c r="BO252" s="1">
        <v>0.0625</v>
      </c>
      <c r="BP252" s="1">
        <v>0.18829</v>
      </c>
      <c r="BQ252" s="1">
        <v>46.468401</v>
      </c>
      <c r="BR252" s="1">
        <v>7230.33</v>
      </c>
      <c r="BS252" s="3">
        <v>1800000</v>
      </c>
    </row>
    <row r="253" spans="1:71">
      <c r="A253" s="1" t="s">
        <v>91</v>
      </c>
      <c r="B253" s="1">
        <v>21</v>
      </c>
      <c r="C253" s="1">
        <v>111.794</v>
      </c>
      <c r="D253" s="1">
        <v>22.8159</v>
      </c>
      <c r="E253" s="1">
        <v>2022</v>
      </c>
      <c r="F253" s="1">
        <v>0.306543600693099</v>
      </c>
      <c r="G253" s="1">
        <v>6.82658641348918</v>
      </c>
      <c r="H253" s="1">
        <v>5.63830433995336</v>
      </c>
      <c r="I253" s="1">
        <v>5.66602867639032</v>
      </c>
      <c r="J253" s="1">
        <v>5.53173100590446</v>
      </c>
      <c r="K253" s="1">
        <v>5.72533762160148</v>
      </c>
      <c r="L253" s="1">
        <v>-0.2231272</v>
      </c>
      <c r="M253" s="1">
        <v>4.76558690739399</v>
      </c>
      <c r="N253" s="1">
        <v>2.6390574</v>
      </c>
      <c r="O253" s="1">
        <v>10.7901228775026</v>
      </c>
      <c r="P253" s="1">
        <v>279.985857760013</v>
      </c>
      <c r="Q253" s="1">
        <v>287.884997526228</v>
      </c>
      <c r="R253" s="1">
        <v>251.580751602595</v>
      </c>
      <c r="S253" s="1">
        <v>305.536741212693</v>
      </c>
      <c r="T253" s="1">
        <v>70.15</v>
      </c>
      <c r="U253" s="1">
        <v>116.4</v>
      </c>
      <c r="V253" s="1">
        <v>13</v>
      </c>
      <c r="W253" s="1">
        <v>48538</v>
      </c>
      <c r="X253" s="1">
        <v>0.119921426517845</v>
      </c>
      <c r="Y253" s="1">
        <v>4.62</v>
      </c>
      <c r="Z253" s="1">
        <v>0.3255</v>
      </c>
      <c r="AA253" s="1">
        <v>5.72930894200484</v>
      </c>
      <c r="AB253" s="1">
        <f t="shared" si="9"/>
        <v>1.74559491996391</v>
      </c>
      <c r="AC253" s="1">
        <v>2.46562840289952</v>
      </c>
      <c r="AD253" s="1">
        <v>0.00544385382059801</v>
      </c>
      <c r="AE253" s="1">
        <v>1.42827151854444</v>
      </c>
      <c r="AF253" s="1">
        <v>1</v>
      </c>
      <c r="AG253" s="1">
        <v>0.424956</v>
      </c>
      <c r="AH253" s="2">
        <v>4.26479</v>
      </c>
      <c r="AI253" s="1">
        <v>187.696068925915</v>
      </c>
      <c r="AJ253" s="1">
        <v>0.176865827681133</v>
      </c>
      <c r="AK253" s="1">
        <v>0.21241705956777</v>
      </c>
      <c r="AL253" s="1">
        <v>0.181448136184174</v>
      </c>
      <c r="AM253" s="1">
        <v>0.517202608500112</v>
      </c>
      <c r="AN253" s="1">
        <v>0</v>
      </c>
      <c r="AO253" s="1">
        <v>0.03882258</v>
      </c>
      <c r="AP253" s="1">
        <v>0.05626989</v>
      </c>
      <c r="AQ253" s="1">
        <v>0.04646274</v>
      </c>
      <c r="AR253" s="1">
        <v>0.0299332</v>
      </c>
      <c r="AS253" s="1">
        <v>0.05547267</v>
      </c>
      <c r="AT253" s="1">
        <v>0.03530189</v>
      </c>
      <c r="AU253" s="1">
        <v>0.05415683</v>
      </c>
      <c r="AV253" s="1">
        <v>0.05180203</v>
      </c>
      <c r="AW253" s="1">
        <v>0.05111235</v>
      </c>
      <c r="AX253" s="1">
        <v>0.09640285</v>
      </c>
      <c r="AY253" s="1">
        <v>0.07500592</v>
      </c>
      <c r="AZ253" s="1">
        <v>485</v>
      </c>
      <c r="BA253" s="1">
        <v>16.1</v>
      </c>
      <c r="BB253" s="1">
        <f t="shared" si="10"/>
        <v>6.18414889093748</v>
      </c>
      <c r="BC253" s="1">
        <v>0.000192</v>
      </c>
      <c r="BD253" s="1">
        <v>239.65</v>
      </c>
      <c r="BE253" s="1">
        <v>1.49397335588919</v>
      </c>
      <c r="BF253" s="1">
        <v>17700.156412</v>
      </c>
      <c r="BG253" s="1">
        <v>0.2451292</v>
      </c>
      <c r="BH253" s="1">
        <v>1162.43</v>
      </c>
      <c r="BI253" s="1">
        <f t="shared" si="11"/>
        <v>7.05826792059475</v>
      </c>
      <c r="BJ253" s="1">
        <v>3.301158333</v>
      </c>
      <c r="BM253" s="1">
        <v>156892</v>
      </c>
      <c r="BN253" s="1">
        <v>2510000</v>
      </c>
      <c r="BO253" s="1">
        <v>0.0625</v>
      </c>
      <c r="BP253" s="1">
        <v>0.18829</v>
      </c>
      <c r="BQ253" s="1">
        <v>46.468401</v>
      </c>
      <c r="BR253" s="1">
        <v>7230.33</v>
      </c>
      <c r="BS253" s="3">
        <v>1800000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蔡徐坤打篮球</cp:lastModifiedBy>
  <dcterms:created xsi:type="dcterms:W3CDTF">2025-10-21T21:58:00Z</dcterms:created>
  <dcterms:modified xsi:type="dcterms:W3CDTF">2025-11-17T13:11:02Z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80E0E12D32FC43E397991DCB00928EAE_13</vt:lpwstr>
  </property>
  <property fmtid="{D5CDD505-2E9C-101B-9397-08002B2CF9AE}" pid="3" name="KSOProductBuildVer">
    <vt:lpwstr>2052-12.1.0.23542</vt:lpwstr>
  </property>
</Properties>
</file>